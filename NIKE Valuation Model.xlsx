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fes\Downloads\"/>
    </mc:Choice>
  </mc:AlternateContent>
  <xr:revisionPtr revIDLastSave="0" documentId="8_{7FB5795E-8F8B-415F-9F94-920EA7A3F95B}" xr6:coauthVersionLast="47" xr6:coauthVersionMax="47" xr10:uidLastSave="{00000000-0000-0000-0000-000000000000}"/>
  <bookViews>
    <workbookView xWindow="-108" yWindow="-108" windowWidth="23256" windowHeight="12456" tabRatio="500" firstSheet="7" activeTab="13" xr2:uid="{00000000-000D-0000-FFFF-FFFF00000000}"/>
  </bookViews>
  <sheets>
    <sheet name="Assumptions" sheetId="1" r:id="rId1"/>
    <sheet name="Live Valuation Engine" sheetId="2" r:id="rId2"/>
    <sheet name="IS" sheetId="3" r:id="rId3"/>
    <sheet name="BS" sheetId="4" r:id="rId4"/>
    <sheet name="CF" sheetId="5" r:id="rId5"/>
    <sheet name="Summary" sheetId="6" r:id="rId6"/>
    <sheet name="WACC" sheetId="7" r:id="rId7"/>
    <sheet name="DCF" sheetId="8" r:id="rId8"/>
    <sheet name="Comps" sheetId="9" r:id="rId9"/>
    <sheet name="Street Comps" sheetId="10" r:id="rId10"/>
    <sheet name="Precedents" sheetId="11" r:id="rId11"/>
    <sheet name="LBO" sheetId="12" r:id="rId12"/>
    <sheet name="Merger" sheetId="13" r:id="rId13"/>
    <sheet name="Football Field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4" l="1"/>
  <c r="C65" i="13"/>
  <c r="D50" i="13"/>
  <c r="C50" i="13"/>
  <c r="E49" i="13"/>
  <c r="E50" i="13" s="1"/>
  <c r="C14" i="13"/>
  <c r="C12" i="13"/>
  <c r="C8" i="13"/>
  <c r="C56" i="12"/>
  <c r="C19" i="12"/>
  <c r="C11" i="12"/>
  <c r="H13" i="11"/>
  <c r="G13" i="11"/>
  <c r="H12" i="11"/>
  <c r="G12" i="11"/>
  <c r="H11" i="11"/>
  <c r="G11" i="11"/>
  <c r="H10" i="11"/>
  <c r="G10" i="11"/>
  <c r="H9" i="11"/>
  <c r="G9" i="11"/>
  <c r="H8" i="11"/>
  <c r="H17" i="11" s="1"/>
  <c r="G8" i="11"/>
  <c r="H7" i="11"/>
  <c r="G7" i="11"/>
  <c r="H6" i="11"/>
  <c r="G6" i="11"/>
  <c r="B61" i="10"/>
  <c r="C54" i="10"/>
  <c r="C41" i="10"/>
  <c r="I33" i="10"/>
  <c r="K33" i="10" s="1"/>
  <c r="F33" i="10"/>
  <c r="E33" i="10"/>
  <c r="H33" i="10" s="1"/>
  <c r="J33" i="10" s="1"/>
  <c r="L32" i="10"/>
  <c r="H32" i="10"/>
  <c r="J32" i="10" s="1"/>
  <c r="F32" i="10"/>
  <c r="I32" i="10" s="1"/>
  <c r="K32" i="10" s="1"/>
  <c r="P32" i="10" s="1"/>
  <c r="E32" i="10"/>
  <c r="K31" i="10"/>
  <c r="J31" i="10"/>
  <c r="I31" i="10"/>
  <c r="H31" i="10"/>
  <c r="F31" i="10"/>
  <c r="E31" i="10"/>
  <c r="F30" i="10"/>
  <c r="I30" i="10" s="1"/>
  <c r="K30" i="10" s="1"/>
  <c r="E30" i="10"/>
  <c r="H30" i="10" s="1"/>
  <c r="J30" i="10" s="1"/>
  <c r="I29" i="10"/>
  <c r="K29" i="10" s="1"/>
  <c r="F29" i="10"/>
  <c r="E29" i="10"/>
  <c r="H29" i="10" s="1"/>
  <c r="J29" i="10" s="1"/>
  <c r="J28" i="10"/>
  <c r="I28" i="10"/>
  <c r="K28" i="10" s="1"/>
  <c r="H28" i="10"/>
  <c r="F28" i="10"/>
  <c r="E28" i="10"/>
  <c r="M27" i="10"/>
  <c r="L27" i="10"/>
  <c r="I27" i="10"/>
  <c r="K27" i="10" s="1"/>
  <c r="F27" i="10"/>
  <c r="E27" i="10"/>
  <c r="H27" i="10" s="1"/>
  <c r="J27" i="10" s="1"/>
  <c r="F26" i="10"/>
  <c r="I26" i="10" s="1"/>
  <c r="K26" i="10" s="1"/>
  <c r="E26" i="10"/>
  <c r="H26" i="10" s="1"/>
  <c r="J26" i="10" s="1"/>
  <c r="I25" i="10"/>
  <c r="K25" i="10" s="1"/>
  <c r="F25" i="10"/>
  <c r="E25" i="10"/>
  <c r="H25" i="10" s="1"/>
  <c r="J25" i="10" s="1"/>
  <c r="F24" i="10"/>
  <c r="I24" i="10" s="1"/>
  <c r="K24" i="10" s="1"/>
  <c r="E24" i="10"/>
  <c r="H24" i="10" s="1"/>
  <c r="J24" i="10" s="1"/>
  <c r="C19" i="10"/>
  <c r="C15" i="10"/>
  <c r="C16" i="10" s="1"/>
  <c r="C9" i="10"/>
  <c r="C10" i="10" s="1"/>
  <c r="C11" i="10" s="1"/>
  <c r="C18" i="10" s="1"/>
  <c r="C20" i="10" s="1"/>
  <c r="C6" i="10"/>
  <c r="D32" i="9"/>
  <c r="D30" i="9"/>
  <c r="D25" i="9"/>
  <c r="D28" i="9" s="1"/>
  <c r="E15" i="9"/>
  <c r="G15" i="9" s="1"/>
  <c r="J14" i="9"/>
  <c r="E14" i="9"/>
  <c r="G14" i="9" s="1"/>
  <c r="K14" i="9" s="1"/>
  <c r="E13" i="9"/>
  <c r="G13" i="9" s="1"/>
  <c r="K12" i="9"/>
  <c r="G12" i="9"/>
  <c r="J12" i="9" s="1"/>
  <c r="E12" i="9"/>
  <c r="E11" i="9"/>
  <c r="G11" i="9" s="1"/>
  <c r="E10" i="9"/>
  <c r="G10" i="9" s="1"/>
  <c r="G9" i="9"/>
  <c r="J9" i="9" s="1"/>
  <c r="E9" i="9"/>
  <c r="E8" i="9"/>
  <c r="E7" i="9"/>
  <c r="G7" i="9" s="1"/>
  <c r="G6" i="9"/>
  <c r="E6" i="9"/>
  <c r="B48" i="8"/>
  <c r="B47" i="8"/>
  <c r="B46" i="8"/>
  <c r="B45" i="8"/>
  <c r="B44" i="8"/>
  <c r="C38" i="8"/>
  <c r="C36" i="8"/>
  <c r="C25" i="7"/>
  <c r="C22" i="7"/>
  <c r="C17" i="7"/>
  <c r="C9" i="7"/>
  <c r="C8" i="7"/>
  <c r="C7" i="7"/>
  <c r="D10" i="6"/>
  <c r="D9" i="6"/>
  <c r="B9" i="6"/>
  <c r="D7" i="6"/>
  <c r="C7" i="6"/>
  <c r="B7" i="6"/>
  <c r="C8" i="6" s="1"/>
  <c r="D48" i="5"/>
  <c r="C48" i="5"/>
  <c r="E42" i="5"/>
  <c r="D39" i="5"/>
  <c r="E37" i="5" s="1"/>
  <c r="C39" i="5"/>
  <c r="D37" i="5" s="1"/>
  <c r="G38" i="5"/>
  <c r="F38" i="5"/>
  <c r="E38" i="5"/>
  <c r="E31" i="5"/>
  <c r="D25" i="5"/>
  <c r="C25" i="5"/>
  <c r="B25" i="5"/>
  <c r="G24" i="5"/>
  <c r="F24" i="5"/>
  <c r="E24" i="5"/>
  <c r="E23" i="5"/>
  <c r="F23" i="5" s="1"/>
  <c r="G23" i="5" s="1"/>
  <c r="G25" i="5" s="1"/>
  <c r="G22" i="5"/>
  <c r="F22" i="5"/>
  <c r="F25" i="5" s="1"/>
  <c r="E22" i="5"/>
  <c r="D18" i="5"/>
  <c r="C18" i="5"/>
  <c r="B18" i="5"/>
  <c r="G16" i="5"/>
  <c r="F16" i="5"/>
  <c r="E16" i="5"/>
  <c r="C12" i="5"/>
  <c r="C29" i="5" s="1"/>
  <c r="C32" i="5" s="1"/>
  <c r="B12" i="5"/>
  <c r="B29" i="5" s="1"/>
  <c r="B32" i="5" s="1"/>
  <c r="G10" i="5"/>
  <c r="F10" i="5"/>
  <c r="E10" i="5"/>
  <c r="C10" i="5"/>
  <c r="B10" i="5"/>
  <c r="B47" i="4"/>
  <c r="B31" i="6" s="1"/>
  <c r="C45" i="4"/>
  <c r="B45" i="4"/>
  <c r="D44" i="4"/>
  <c r="C44" i="4"/>
  <c r="F42" i="4"/>
  <c r="G42" i="4" s="1"/>
  <c r="E42" i="4"/>
  <c r="F41" i="4"/>
  <c r="G41" i="4" s="1"/>
  <c r="E41" i="4"/>
  <c r="E40" i="4"/>
  <c r="E36" i="4"/>
  <c r="F36" i="4" s="1"/>
  <c r="G36" i="4" s="1"/>
  <c r="E35" i="4"/>
  <c r="F35" i="4" s="1"/>
  <c r="G35" i="4" s="1"/>
  <c r="G34" i="4"/>
  <c r="E34" i="4"/>
  <c r="F34" i="4" s="1"/>
  <c r="D32" i="4"/>
  <c r="D37" i="4" s="1"/>
  <c r="D45" i="4" s="1"/>
  <c r="C32" i="4"/>
  <c r="C37" i="4" s="1"/>
  <c r="E31" i="4"/>
  <c r="F31" i="4" s="1"/>
  <c r="G31" i="4" s="1"/>
  <c r="E23" i="4"/>
  <c r="F23" i="4" s="1"/>
  <c r="G23" i="4" s="1"/>
  <c r="G22" i="4"/>
  <c r="F22" i="4"/>
  <c r="E22" i="4"/>
  <c r="D19" i="4"/>
  <c r="G18" i="4"/>
  <c r="F18" i="4"/>
  <c r="E18" i="4"/>
  <c r="E17" i="4"/>
  <c r="F17" i="4" s="1"/>
  <c r="G17" i="4" s="1"/>
  <c r="F16" i="4"/>
  <c r="G16" i="4" s="1"/>
  <c r="E16" i="4"/>
  <c r="G15" i="4"/>
  <c r="E15" i="4"/>
  <c r="F15" i="4" s="1"/>
  <c r="D12" i="4"/>
  <c r="C12" i="4"/>
  <c r="C19" i="4" s="1"/>
  <c r="C47" i="4" s="1"/>
  <c r="C31" i="6" s="1"/>
  <c r="G8" i="4"/>
  <c r="F8" i="4"/>
  <c r="E8" i="4"/>
  <c r="D26" i="3"/>
  <c r="D9" i="5" s="1"/>
  <c r="D10" i="5" s="1"/>
  <c r="C26" i="3"/>
  <c r="C9" i="5" s="1"/>
  <c r="B26" i="3"/>
  <c r="B9" i="5" s="1"/>
  <c r="E23" i="3"/>
  <c r="C34" i="13" s="1"/>
  <c r="G17" i="3"/>
  <c r="F17" i="3"/>
  <c r="E17" i="3"/>
  <c r="D15" i="3"/>
  <c r="C15" i="3"/>
  <c r="D13" i="3"/>
  <c r="C13" i="3"/>
  <c r="B13" i="3"/>
  <c r="E12" i="3"/>
  <c r="E11" i="3"/>
  <c r="E13" i="3" s="1"/>
  <c r="C10" i="3"/>
  <c r="B10" i="3"/>
  <c r="D9" i="3"/>
  <c r="D10" i="3" s="1"/>
  <c r="C9" i="3"/>
  <c r="C9" i="6" s="1"/>
  <c r="C10" i="6" s="1"/>
  <c r="B9" i="3"/>
  <c r="E7" i="3"/>
  <c r="F7" i="3" s="1"/>
  <c r="B37" i="2"/>
  <c r="H15" i="2"/>
  <c r="G15" i="2"/>
  <c r="G8" i="1" s="1"/>
  <c r="F15" i="2"/>
  <c r="E15" i="2"/>
  <c r="D15" i="2"/>
  <c r="C15" i="2"/>
  <c r="B15" i="2"/>
  <c r="E7" i="1" s="1"/>
  <c r="A15" i="2"/>
  <c r="D32" i="1"/>
  <c r="C32" i="1"/>
  <c r="D29" i="1"/>
  <c r="C29" i="1"/>
  <c r="B29" i="1"/>
  <c r="D27" i="1"/>
  <c r="C27" i="1"/>
  <c r="D26" i="1"/>
  <c r="C26" i="1"/>
  <c r="B26" i="1"/>
  <c r="D23" i="1"/>
  <c r="C23" i="1"/>
  <c r="B23" i="1"/>
  <c r="D20" i="1"/>
  <c r="D19" i="1"/>
  <c r="D18" i="1"/>
  <c r="D17" i="1"/>
  <c r="D16" i="1"/>
  <c r="D15" i="1"/>
  <c r="D11" i="1"/>
  <c r="C11" i="1"/>
  <c r="B11" i="1"/>
  <c r="D10" i="1"/>
  <c r="C10" i="1"/>
  <c r="B10" i="1"/>
  <c r="D9" i="1"/>
  <c r="C9" i="1"/>
  <c r="B9" i="1"/>
  <c r="F8" i="1"/>
  <c r="E8" i="1"/>
  <c r="D8" i="1"/>
  <c r="C8" i="1"/>
  <c r="B8" i="1"/>
  <c r="G7" i="1"/>
  <c r="F7" i="1"/>
  <c r="D7" i="1"/>
  <c r="C7" i="1"/>
  <c r="J13" i="9" l="1"/>
  <c r="K13" i="9"/>
  <c r="L31" i="10"/>
  <c r="D25" i="12"/>
  <c r="F12" i="3"/>
  <c r="F26" i="3"/>
  <c r="F8" i="3"/>
  <c r="F11" i="4"/>
  <c r="F7" i="6"/>
  <c r="F15" i="5"/>
  <c r="F29" i="4"/>
  <c r="G7" i="3"/>
  <c r="F9" i="4"/>
  <c r="F11" i="3"/>
  <c r="F13" i="3" s="1"/>
  <c r="L28" i="10"/>
  <c r="K10" i="9"/>
  <c r="J10" i="9"/>
  <c r="C5" i="13"/>
  <c r="C7" i="13" s="1"/>
  <c r="G8" i="9"/>
  <c r="C42" i="10"/>
  <c r="E9" i="3"/>
  <c r="B10" i="6"/>
  <c r="O32" i="10"/>
  <c r="N32" i="10"/>
  <c r="M32" i="10"/>
  <c r="D11" i="6"/>
  <c r="D12" i="6" s="1"/>
  <c r="D25" i="3"/>
  <c r="D19" i="3"/>
  <c r="J7" i="9"/>
  <c r="L25" i="10"/>
  <c r="K7" i="9"/>
  <c r="D12" i="5"/>
  <c r="D29" i="5" s="1"/>
  <c r="D32" i="5" s="1"/>
  <c r="J15" i="9"/>
  <c r="L33" i="10"/>
  <c r="F23" i="3"/>
  <c r="G23" i="3" s="1"/>
  <c r="C25" i="12"/>
  <c r="C20" i="13"/>
  <c r="C21" i="13" s="1"/>
  <c r="B41" i="10"/>
  <c r="D41" i="10" s="1"/>
  <c r="F41" i="10" s="1"/>
  <c r="C59" i="10"/>
  <c r="E9" i="4"/>
  <c r="C56" i="10"/>
  <c r="E7" i="6"/>
  <c r="E29" i="4"/>
  <c r="E11" i="4"/>
  <c r="E15" i="5"/>
  <c r="E26" i="3"/>
  <c r="E8" i="3"/>
  <c r="D47" i="4"/>
  <c r="D31" i="6" s="1"/>
  <c r="E39" i="5"/>
  <c r="F37" i="5" s="1"/>
  <c r="F40" i="4"/>
  <c r="K15" i="9"/>
  <c r="C25" i="3"/>
  <c r="C13" i="6" s="1"/>
  <c r="C11" i="6"/>
  <c r="C12" i="6" s="1"/>
  <c r="C19" i="3"/>
  <c r="D8" i="6"/>
  <c r="C26" i="7"/>
  <c r="C27" i="7" s="1"/>
  <c r="C18" i="8" s="1"/>
  <c r="P27" i="10"/>
  <c r="O27" i="10"/>
  <c r="C10" i="7"/>
  <c r="C34" i="8" s="1"/>
  <c r="N27" i="10"/>
  <c r="L29" i="10"/>
  <c r="J11" i="9"/>
  <c r="K11" i="9"/>
  <c r="D24" i="11"/>
  <c r="E24" i="11"/>
  <c r="E25" i="5"/>
  <c r="L24" i="10"/>
  <c r="K6" i="9"/>
  <c r="L30" i="10"/>
  <c r="B15" i="3"/>
  <c r="J6" i="9"/>
  <c r="G15" i="11"/>
  <c r="G18" i="11"/>
  <c r="G17" i="11"/>
  <c r="G16" i="11"/>
  <c r="K9" i="9"/>
  <c r="H18" i="11"/>
  <c r="H16" i="11"/>
  <c r="H15" i="11"/>
  <c r="D43" i="8" l="1"/>
  <c r="C21" i="8"/>
  <c r="D21" i="8"/>
  <c r="F43" i="8"/>
  <c r="C43" i="8"/>
  <c r="E21" i="8"/>
  <c r="G21" i="8"/>
  <c r="G43" i="8"/>
  <c r="E43" i="8"/>
  <c r="F21" i="8"/>
  <c r="N24" i="10"/>
  <c r="M24" i="10"/>
  <c r="P24" i="10"/>
  <c r="O24" i="10"/>
  <c r="O28" i="10"/>
  <c r="N28" i="10"/>
  <c r="M28" i="10"/>
  <c r="P28" i="10"/>
  <c r="D23" i="11"/>
  <c r="E23" i="11"/>
  <c r="F23" i="11" s="1"/>
  <c r="G23" i="11" s="1"/>
  <c r="C6" i="12"/>
  <c r="C7" i="12" s="1"/>
  <c r="C55" i="10"/>
  <c r="D26" i="9"/>
  <c r="D13" i="6"/>
  <c r="E25" i="12"/>
  <c r="F25" i="12" s="1"/>
  <c r="G25" i="12" s="1"/>
  <c r="G9" i="4"/>
  <c r="G7" i="6"/>
  <c r="G11" i="4"/>
  <c r="G11" i="3"/>
  <c r="G13" i="3" s="1"/>
  <c r="G15" i="5"/>
  <c r="G29" i="4"/>
  <c r="G26" i="3"/>
  <c r="G12" i="3"/>
  <c r="G8" i="3"/>
  <c r="G9" i="3"/>
  <c r="F39" i="5"/>
  <c r="G37" i="5" s="1"/>
  <c r="F41" i="5"/>
  <c r="F8" i="6"/>
  <c r="E8" i="6"/>
  <c r="P33" i="10"/>
  <c r="M33" i="10"/>
  <c r="O33" i="10"/>
  <c r="C49" i="10" s="1"/>
  <c r="N33" i="10"/>
  <c r="E9" i="6"/>
  <c r="E10" i="6" s="1"/>
  <c r="E10" i="3"/>
  <c r="E15" i="3"/>
  <c r="F10" i="4"/>
  <c r="F28" i="4"/>
  <c r="F24" i="11"/>
  <c r="G24" i="11" s="1"/>
  <c r="E41" i="5"/>
  <c r="E40" i="5" s="1"/>
  <c r="E16" i="3" s="1"/>
  <c r="D12" i="1"/>
  <c r="D21" i="3"/>
  <c r="D28" i="12"/>
  <c r="D34" i="12" s="1"/>
  <c r="F24" i="6"/>
  <c r="D9" i="8" s="1"/>
  <c r="F9" i="5"/>
  <c r="E28" i="4"/>
  <c r="E10" i="4"/>
  <c r="E24" i="6"/>
  <c r="C9" i="8" s="1"/>
  <c r="E9" i="5"/>
  <c r="C28" i="12"/>
  <c r="C34" i="12" s="1"/>
  <c r="E52" i="13"/>
  <c r="C9" i="13"/>
  <c r="C10" i="13" s="1"/>
  <c r="C52" i="13"/>
  <c r="E51" i="13"/>
  <c r="E55" i="13" s="1"/>
  <c r="C16" i="13"/>
  <c r="D51" i="13"/>
  <c r="D55" i="13" s="1"/>
  <c r="C15" i="13"/>
  <c r="C35" i="13" s="1"/>
  <c r="C36" i="13" s="1"/>
  <c r="C51" i="13"/>
  <c r="C55" i="13" s="1"/>
  <c r="D52" i="13"/>
  <c r="N31" i="10"/>
  <c r="P31" i="10"/>
  <c r="O31" i="10"/>
  <c r="M31" i="10"/>
  <c r="D49" i="10"/>
  <c r="F9" i="3"/>
  <c r="B11" i="6"/>
  <c r="B12" i="6" s="1"/>
  <c r="B25" i="3"/>
  <c r="B13" i="6" s="1"/>
  <c r="B19" i="3"/>
  <c r="M29" i="10"/>
  <c r="P29" i="10"/>
  <c r="N29" i="10"/>
  <c r="O29" i="10"/>
  <c r="C21" i="3"/>
  <c r="C12" i="1"/>
  <c r="C35" i="12"/>
  <c r="E25" i="6"/>
  <c r="C10" i="8" s="1"/>
  <c r="E14" i="4"/>
  <c r="F14" i="4" s="1"/>
  <c r="E18" i="5"/>
  <c r="F24" i="13"/>
  <c r="E24" i="13"/>
  <c r="D24" i="13"/>
  <c r="D35" i="12"/>
  <c r="F18" i="5"/>
  <c r="F25" i="6"/>
  <c r="D10" i="8" s="1"/>
  <c r="D26" i="11"/>
  <c r="E26" i="11"/>
  <c r="F26" i="11" s="1"/>
  <c r="G26" i="11" s="1"/>
  <c r="B29" i="2" s="1"/>
  <c r="J20" i="9"/>
  <c r="C32" i="9" s="1"/>
  <c r="E32" i="9" s="1"/>
  <c r="F32" i="9" s="1"/>
  <c r="G32" i="9" s="1"/>
  <c r="J18" i="9"/>
  <c r="J17" i="9"/>
  <c r="C28" i="9" s="1"/>
  <c r="E28" i="9" s="1"/>
  <c r="F28" i="9" s="1"/>
  <c r="G28" i="9" s="1"/>
  <c r="J19" i="9"/>
  <c r="C30" i="9" s="1"/>
  <c r="E30" i="9" s="1"/>
  <c r="F30" i="9" s="1"/>
  <c r="G30" i="9" s="1"/>
  <c r="G40" i="4"/>
  <c r="J8" i="9"/>
  <c r="K8" i="9"/>
  <c r="K17" i="9" s="1"/>
  <c r="C29" i="9" s="1"/>
  <c r="L26" i="10"/>
  <c r="D25" i="11"/>
  <c r="E25" i="11"/>
  <c r="F25" i="11" s="1"/>
  <c r="G25" i="11" s="1"/>
  <c r="C11" i="7"/>
  <c r="M30" i="10"/>
  <c r="P30" i="10"/>
  <c r="O30" i="10"/>
  <c r="N30" i="10"/>
  <c r="K20" i="9"/>
  <c r="C33" i="9" s="1"/>
  <c r="K19" i="9"/>
  <c r="C31" i="9" s="1"/>
  <c r="K18" i="9"/>
  <c r="P25" i="10"/>
  <c r="O25" i="10"/>
  <c r="N25" i="10"/>
  <c r="M25" i="10"/>
  <c r="G8" i="6"/>
  <c r="E21" i="6" l="1"/>
  <c r="E11" i="6"/>
  <c r="E12" i="6" s="1"/>
  <c r="E25" i="3"/>
  <c r="E19" i="3"/>
  <c r="D33" i="9"/>
  <c r="E33" i="9" s="1"/>
  <c r="F33" i="9" s="1"/>
  <c r="G33" i="9" s="1"/>
  <c r="D31" i="9"/>
  <c r="D29" i="9"/>
  <c r="E29" i="9" s="1"/>
  <c r="F29" i="9" s="1"/>
  <c r="G29" i="9" s="1"/>
  <c r="E31" i="9"/>
  <c r="F31" i="9" s="1"/>
  <c r="G31" i="9" s="1"/>
  <c r="C48" i="10"/>
  <c r="D14" i="6"/>
  <c r="D15" i="6" s="1"/>
  <c r="D22" i="3"/>
  <c r="D16" i="6" s="1"/>
  <c r="M26" i="10"/>
  <c r="M36" i="10" s="1"/>
  <c r="N26" i="10"/>
  <c r="N35" i="10" s="1"/>
  <c r="P26" i="10"/>
  <c r="O26" i="10"/>
  <c r="D8" i="14"/>
  <c r="B21" i="2"/>
  <c r="D47" i="10"/>
  <c r="P37" i="10"/>
  <c r="P35" i="10"/>
  <c r="P36" i="10"/>
  <c r="P34" i="10"/>
  <c r="B10" i="14"/>
  <c r="C13" i="12"/>
  <c r="C60" i="12" s="1"/>
  <c r="C12" i="12"/>
  <c r="D10" i="14"/>
  <c r="E10" i="14" s="1"/>
  <c r="C10" i="14"/>
  <c r="B30" i="2" s="1"/>
  <c r="C9" i="14"/>
  <c r="D20" i="2"/>
  <c r="B28" i="2" s="1"/>
  <c r="G14" i="4"/>
  <c r="B9" i="14"/>
  <c r="D19" i="2"/>
  <c r="G28" i="4"/>
  <c r="G10" i="4"/>
  <c r="B8" i="14"/>
  <c r="B19" i="2"/>
  <c r="C8" i="14"/>
  <c r="B20" i="2"/>
  <c r="B26" i="2" s="1"/>
  <c r="F15" i="3"/>
  <c r="F10" i="3"/>
  <c r="F9" i="6"/>
  <c r="F10" i="6" s="1"/>
  <c r="E35" i="12"/>
  <c r="F35" i="12" s="1"/>
  <c r="G35" i="12" s="1"/>
  <c r="G25" i="6"/>
  <c r="E10" i="8" s="1"/>
  <c r="G18" i="5"/>
  <c r="D48" i="10"/>
  <c r="D9" i="14"/>
  <c r="E9" i="14" s="1"/>
  <c r="D21" i="2"/>
  <c r="C14" i="6"/>
  <c r="C15" i="6" s="1"/>
  <c r="C22" i="3"/>
  <c r="C16" i="6" s="1"/>
  <c r="G39" i="5"/>
  <c r="G41" i="5"/>
  <c r="O35" i="10"/>
  <c r="O37" i="10"/>
  <c r="C47" i="10"/>
  <c r="O36" i="10"/>
  <c r="O34" i="10"/>
  <c r="G9" i="6"/>
  <c r="G10" i="6" s="1"/>
  <c r="G10" i="3"/>
  <c r="G15" i="3"/>
  <c r="B12" i="1"/>
  <c r="B21" i="3"/>
  <c r="E28" i="12"/>
  <c r="G9" i="5"/>
  <c r="G24" i="6"/>
  <c r="E9" i="8" s="1"/>
  <c r="C7" i="14" l="1"/>
  <c r="C20" i="2"/>
  <c r="B27" i="2" s="1"/>
  <c r="D7" i="14"/>
  <c r="C21" i="2"/>
  <c r="M37" i="10"/>
  <c r="C57" i="10"/>
  <c r="C58" i="10"/>
  <c r="C26" i="12"/>
  <c r="E13" i="6"/>
  <c r="B42" i="10"/>
  <c r="D42" i="10" s="1"/>
  <c r="F42" i="10" s="1"/>
  <c r="F43" i="10" s="1"/>
  <c r="M35" i="10"/>
  <c r="N34" i="10"/>
  <c r="B55" i="10" s="1"/>
  <c r="D55" i="10" s="1"/>
  <c r="E55" i="10" s="1"/>
  <c r="M34" i="10"/>
  <c r="B54" i="10" s="1"/>
  <c r="D54" i="10" s="1"/>
  <c r="E54" i="10" s="1"/>
  <c r="N36" i="10"/>
  <c r="E22" i="6"/>
  <c r="C7" i="8" s="1"/>
  <c r="E23" i="6"/>
  <c r="C6" i="8"/>
  <c r="C8" i="8" s="1"/>
  <c r="F28" i="12"/>
  <c r="E34" i="12"/>
  <c r="N37" i="10"/>
  <c r="E8" i="14"/>
  <c r="B7" i="14"/>
  <c r="C19" i="2"/>
  <c r="B14" i="6"/>
  <c r="B15" i="6" s="1"/>
  <c r="B22" i="3"/>
  <c r="B16" i="6" s="1"/>
  <c r="C45" i="12"/>
  <c r="D18" i="12"/>
  <c r="F18" i="12" s="1"/>
  <c r="C21" i="12"/>
  <c r="D17" i="12"/>
  <c r="F21" i="6"/>
  <c r="F25" i="3"/>
  <c r="F11" i="6"/>
  <c r="F12" i="6" s="1"/>
  <c r="B56" i="10"/>
  <c r="D56" i="10" s="1"/>
  <c r="E56" i="10" s="1"/>
  <c r="B59" i="10"/>
  <c r="D59" i="10" s="1"/>
  <c r="E59" i="10" s="1"/>
  <c r="E20" i="3"/>
  <c r="E21" i="3" s="1"/>
  <c r="G11" i="6"/>
  <c r="G12" i="6" s="1"/>
  <c r="G25" i="3"/>
  <c r="G21" i="6"/>
  <c r="B58" i="10"/>
  <c r="B57" i="10"/>
  <c r="D57" i="10" s="1"/>
  <c r="E57" i="10" s="1"/>
  <c r="E14" i="6" l="1"/>
  <c r="E15" i="6" s="1"/>
  <c r="C27" i="13"/>
  <c r="E43" i="4"/>
  <c r="E22" i="3"/>
  <c r="E8" i="5"/>
  <c r="F17" i="12"/>
  <c r="F19" i="12" s="1"/>
  <c r="D19" i="12"/>
  <c r="F54" i="10"/>
  <c r="G54" i="10"/>
  <c r="G59" i="10"/>
  <c r="F59" i="10"/>
  <c r="G56" i="10"/>
  <c r="F56" i="10"/>
  <c r="F34" i="12"/>
  <c r="G28" i="12"/>
  <c r="G34" i="12" s="1"/>
  <c r="E7" i="14"/>
  <c r="E30" i="4"/>
  <c r="C53" i="13"/>
  <c r="C29" i="13"/>
  <c r="E53" i="13"/>
  <c r="D53" i="13"/>
  <c r="C30" i="13"/>
  <c r="G55" i="10"/>
  <c r="F55" i="10"/>
  <c r="D6" i="8"/>
  <c r="F22" i="6"/>
  <c r="D7" i="8" s="1"/>
  <c r="G57" i="10"/>
  <c r="F57" i="10"/>
  <c r="D58" i="10"/>
  <c r="E58" i="10" s="1"/>
  <c r="E6" i="8"/>
  <c r="G22" i="6"/>
  <c r="E7" i="8" s="1"/>
  <c r="G23" i="6"/>
  <c r="E26" i="12"/>
  <c r="G13" i="6"/>
  <c r="D26" i="12"/>
  <c r="F13" i="6"/>
  <c r="C27" i="12"/>
  <c r="C29" i="12"/>
  <c r="D8" i="8" l="1"/>
  <c r="C38" i="13"/>
  <c r="C43" i="13" s="1"/>
  <c r="E16" i="6"/>
  <c r="E44" i="4"/>
  <c r="F26" i="12"/>
  <c r="E29" i="12"/>
  <c r="E27" i="12"/>
  <c r="C20" i="12"/>
  <c r="F23" i="6"/>
  <c r="E8" i="8"/>
  <c r="E32" i="4"/>
  <c r="E37" i="4" s="1"/>
  <c r="E45" i="4" s="1"/>
  <c r="E48" i="5"/>
  <c r="E47" i="5" s="1"/>
  <c r="E74" i="13"/>
  <c r="D71" i="13"/>
  <c r="G75" i="13"/>
  <c r="D74" i="13"/>
  <c r="F72" i="13"/>
  <c r="C71" i="13"/>
  <c r="F75" i="13"/>
  <c r="C74" i="13"/>
  <c r="D75" i="13"/>
  <c r="F73" i="13"/>
  <c r="C72" i="13"/>
  <c r="E54" i="13"/>
  <c r="E56" i="13" s="1"/>
  <c r="C32" i="13"/>
  <c r="C39" i="13" s="1"/>
  <c r="C75" i="13"/>
  <c r="E73" i="13"/>
  <c r="C63" i="13"/>
  <c r="C64" i="13" s="1"/>
  <c r="D54" i="13"/>
  <c r="D56" i="13" s="1"/>
  <c r="G74" i="13"/>
  <c r="D73" i="13"/>
  <c r="F71" i="13"/>
  <c r="C54" i="13"/>
  <c r="C56" i="13" s="1"/>
  <c r="F74" i="13"/>
  <c r="E71" i="13"/>
  <c r="C61" i="13"/>
  <c r="C62" i="13" s="1"/>
  <c r="C66" i="13" s="1"/>
  <c r="E75" i="13"/>
  <c r="G73" i="13"/>
  <c r="D72" i="13"/>
  <c r="D29" i="12"/>
  <c r="D27" i="12"/>
  <c r="F58" i="10"/>
  <c r="G58" i="10"/>
  <c r="C58" i="13" l="1"/>
  <c r="C57" i="13"/>
  <c r="G26" i="12"/>
  <c r="F27" i="12"/>
  <c r="F29" i="12"/>
  <c r="C36" i="12"/>
  <c r="E11" i="5"/>
  <c r="E12" i="5" s="1"/>
  <c r="E29" i="5" s="1"/>
  <c r="E32" i="5" s="1"/>
  <c r="E7" i="4" s="1"/>
  <c r="E26" i="6"/>
  <c r="C41" i="13"/>
  <c r="C40" i="13"/>
  <c r="E58" i="13"/>
  <c r="E57" i="13"/>
  <c r="C73" i="13"/>
  <c r="G71" i="13"/>
  <c r="E72" i="13"/>
  <c r="G72" i="13"/>
  <c r="G46" i="12"/>
  <c r="F46" i="12"/>
  <c r="E46" i="12"/>
  <c r="C46" i="12"/>
  <c r="C47" i="12" s="1"/>
  <c r="C30" i="12" s="1"/>
  <c r="C31" i="12" s="1"/>
  <c r="D46" i="12"/>
  <c r="D58" i="13"/>
  <c r="D57" i="13"/>
  <c r="C11" i="8" l="1"/>
  <c r="C12" i="8" s="1"/>
  <c r="E27" i="6"/>
  <c r="C32" i="12"/>
  <c r="C33" i="12" s="1"/>
  <c r="C37" i="12" s="1"/>
  <c r="C48" i="12" s="1"/>
  <c r="C49" i="12" s="1"/>
  <c r="C50" i="12" s="1"/>
  <c r="G29" i="12"/>
  <c r="G27" i="12"/>
  <c r="C55" i="12"/>
  <c r="C57" i="12" s="1"/>
  <c r="F31" i="5"/>
  <c r="F42" i="5"/>
  <c r="F40" i="5" s="1"/>
  <c r="F16" i="3" s="1"/>
  <c r="F19" i="3" s="1"/>
  <c r="E12" i="4"/>
  <c r="E19" i="4" s="1"/>
  <c r="E47" i="4" s="1"/>
  <c r="E31" i="6" s="1"/>
  <c r="D45" i="12" l="1"/>
  <c r="C51" i="12"/>
  <c r="F20" i="3"/>
  <c r="F30" i="4" s="1"/>
  <c r="C22" i="8"/>
  <c r="F21" i="3" l="1"/>
  <c r="F48" i="5"/>
  <c r="F47" i="5" s="1"/>
  <c r="F32" i="4"/>
  <c r="F37" i="4" s="1"/>
  <c r="D47" i="12"/>
  <c r="D30" i="12" s="1"/>
  <c r="D31" i="12" s="1"/>
  <c r="D32" i="12" l="1"/>
  <c r="D33" i="12" s="1"/>
  <c r="D37" i="12" s="1"/>
  <c r="D48" i="12" s="1"/>
  <c r="D49" i="12" s="1"/>
  <c r="D50" i="12" s="1"/>
  <c r="D36" i="12"/>
  <c r="F11" i="5"/>
  <c r="F26" i="6"/>
  <c r="F22" i="3"/>
  <c r="F16" i="6" s="1"/>
  <c r="F14" i="6"/>
  <c r="F15" i="6" s="1"/>
  <c r="F8" i="5"/>
  <c r="F43" i="4"/>
  <c r="D51" i="12" l="1"/>
  <c r="E45" i="12"/>
  <c r="D11" i="8"/>
  <c r="D12" i="8" s="1"/>
  <c r="F27" i="6"/>
  <c r="F44" i="4"/>
  <c r="F45" i="4" s="1"/>
  <c r="F12" i="5"/>
  <c r="F29" i="5" s="1"/>
  <c r="F32" i="5" s="1"/>
  <c r="F7" i="4" s="1"/>
  <c r="G42" i="5" l="1"/>
  <c r="G40" i="5" s="1"/>
  <c r="G16" i="3" s="1"/>
  <c r="G19" i="3" s="1"/>
  <c r="G31" i="5"/>
  <c r="F12" i="4"/>
  <c r="F19" i="4" s="1"/>
  <c r="F47" i="4" s="1"/>
  <c r="F31" i="6" s="1"/>
  <c r="D22" i="8"/>
  <c r="D13" i="8"/>
  <c r="E47" i="12"/>
  <c r="E30" i="12" s="1"/>
  <c r="E31" i="12" s="1"/>
  <c r="E32" i="12" l="1"/>
  <c r="E33" i="12" s="1"/>
  <c r="G20" i="3"/>
  <c r="G30" i="4" s="1"/>
  <c r="G48" i="5" l="1"/>
  <c r="G47" i="5" s="1"/>
  <c r="G32" i="4"/>
  <c r="G37" i="4" s="1"/>
  <c r="G21" i="3"/>
  <c r="G22" i="3" l="1"/>
  <c r="G16" i="6" s="1"/>
  <c r="G8" i="5"/>
  <c r="G14" i="6"/>
  <c r="G15" i="6" s="1"/>
  <c r="G43" i="4"/>
  <c r="G44" i="4" s="1"/>
  <c r="G45" i="4" s="1"/>
  <c r="E36" i="12"/>
  <c r="G26" i="6"/>
  <c r="G11" i="5"/>
  <c r="G12" i="5" l="1"/>
  <c r="G29" i="5" s="1"/>
  <c r="G32" i="5" s="1"/>
  <c r="G7" i="4" s="1"/>
  <c r="G12" i="4" s="1"/>
  <c r="G19" i="4" s="1"/>
  <c r="G47" i="4" s="1"/>
  <c r="G31" i="6" s="1"/>
  <c r="E11" i="8"/>
  <c r="E12" i="8" s="1"/>
  <c r="G27" i="6"/>
  <c r="F36" i="12"/>
  <c r="G36" i="12" s="1"/>
  <c r="E37" i="12"/>
  <c r="E48" i="12" s="1"/>
  <c r="E49" i="12" s="1"/>
  <c r="E50" i="12" s="1"/>
  <c r="E51" i="12" l="1"/>
  <c r="F45" i="12"/>
  <c r="E22" i="8"/>
  <c r="E13" i="8"/>
  <c r="F12" i="8"/>
  <c r="F22" i="8" l="1"/>
  <c r="F13" i="8"/>
  <c r="G12" i="8"/>
  <c r="F44" i="8"/>
  <c r="D46" i="8"/>
  <c r="C48" i="8"/>
  <c r="D45" i="8"/>
  <c r="G47" i="8"/>
  <c r="E44" i="8"/>
  <c r="F47" i="12"/>
  <c r="F30" i="12" s="1"/>
  <c r="F31" i="12" s="1"/>
  <c r="F32" i="12" l="1"/>
  <c r="F33" i="12" s="1"/>
  <c r="F37" i="12" s="1"/>
  <c r="F48" i="12" s="1"/>
  <c r="F49" i="12" s="1"/>
  <c r="F50" i="12" s="1"/>
  <c r="C25" i="8"/>
  <c r="C26" i="8" s="1"/>
  <c r="C27" i="8" s="1"/>
  <c r="C31" i="8" s="1"/>
  <c r="G13" i="8"/>
  <c r="G22" i="8"/>
  <c r="C30" i="8" s="1"/>
  <c r="C32" i="8" s="1"/>
  <c r="C35" i="8" s="1"/>
  <c r="C37" i="8" s="1"/>
  <c r="E48" i="8"/>
  <c r="D47" i="8"/>
  <c r="D44" i="8"/>
  <c r="G45" i="8"/>
  <c r="E45" i="8"/>
  <c r="C46" i="8"/>
  <c r="F48" i="8"/>
  <c r="E47" i="8"/>
  <c r="G48" i="8"/>
  <c r="F47" i="8"/>
  <c r="C47" i="8"/>
  <c r="F46" i="8"/>
  <c r="G44" i="8"/>
  <c r="D48" i="8"/>
  <c r="E46" i="8"/>
  <c r="F45" i="8"/>
  <c r="C44" i="8"/>
  <c r="G46" i="8"/>
  <c r="C45" i="8"/>
  <c r="F51" i="12" l="1"/>
  <c r="G45" i="12"/>
  <c r="B6" i="14"/>
  <c r="B12" i="14" s="1"/>
  <c r="D6" i="14"/>
  <c r="C6" i="14"/>
  <c r="C12" i="14" s="1"/>
  <c r="B15" i="14" s="1"/>
  <c r="B25" i="2"/>
  <c r="C39" i="8"/>
  <c r="C33" i="8"/>
  <c r="B34" i="2" l="1"/>
  <c r="B38" i="2" s="1"/>
  <c r="B35" i="2"/>
  <c r="B33" i="2"/>
  <c r="D12" i="14"/>
  <c r="E6" i="14"/>
  <c r="G47" i="12"/>
  <c r="G30" i="12" s="1"/>
  <c r="G31" i="12" s="1"/>
  <c r="G32" i="12" l="1"/>
  <c r="G33" i="12" s="1"/>
  <c r="G37" i="12" s="1"/>
  <c r="G48" i="12" s="1"/>
  <c r="G49" i="12" s="1"/>
  <c r="G50" i="12" s="1"/>
  <c r="G51" i="12" l="1"/>
  <c r="C58" i="12"/>
  <c r="C59" i="12" s="1"/>
  <c r="D71" i="12"/>
  <c r="C69" i="12"/>
  <c r="F68" i="12"/>
  <c r="F67" i="12"/>
  <c r="F69" i="12"/>
  <c r="E67" i="12"/>
  <c r="C67" i="12"/>
  <c r="C68" i="12"/>
  <c r="C71" i="12"/>
  <c r="E70" i="12"/>
  <c r="F71" i="12"/>
  <c r="D70" i="12"/>
  <c r="E69" i="12"/>
  <c r="G68" i="12"/>
  <c r="C70" i="12"/>
  <c r="E71" i="12"/>
  <c r="G67" i="12"/>
  <c r="D67" i="12"/>
  <c r="E68" i="12"/>
  <c r="G69" i="12"/>
  <c r="G71" i="12"/>
  <c r="G70" i="12"/>
  <c r="D68" i="12"/>
  <c r="F70" i="12"/>
  <c r="D69" i="12"/>
  <c r="C61" i="12" l="1"/>
  <c r="C62" i="12"/>
</calcChain>
</file>

<file path=xl/sharedStrings.xml><?xml version="1.0" encoding="utf-8"?>
<sst xmlns="http://schemas.openxmlformats.org/spreadsheetml/2006/main" count="660" uniqueCount="496">
  <si>
    <t>NIKE, Inc. — Operating Assumptions</t>
  </si>
  <si>
    <t>DRIVERS — edit the blue cells to re-run the entire model</t>
  </si>
  <si>
    <t>FY2022A</t>
  </si>
  <si>
    <t>FY2023A</t>
  </si>
  <si>
    <t>FY2024A</t>
  </si>
  <si>
    <t>FY2025E</t>
  </si>
  <si>
    <t>FY2026E</t>
  </si>
  <si>
    <t>FY2027E</t>
  </si>
  <si>
    <t>Growth &amp; Margin</t>
  </si>
  <si>
    <t>Revenue growth %</t>
  </si>
  <si>
    <t>Gross margin %</t>
  </si>
  <si>
    <t>Demand creation % of revenue</t>
  </si>
  <si>
    <t>Operating overhead % of revenue</t>
  </si>
  <si>
    <t>Other (income) expense, net ($mm)</t>
  </si>
  <si>
    <t>Effective tax rate %</t>
  </si>
  <si>
    <t>Working Capital (days)</t>
  </si>
  <si>
    <t>DSO — days sales outstanding</t>
  </si>
  <si>
    <t>DIO — days inventory outstanding</t>
  </si>
  <si>
    <t>DPO — days payable outstanding</t>
  </si>
  <si>
    <t>Prepaid &amp; other CA % of revenue</t>
  </si>
  <si>
    <t>Accrued liabilities % of revenue</t>
  </si>
  <si>
    <t>Income taxes payable % of tax expense</t>
  </si>
  <si>
    <t>Capital &amp; Cash Flow</t>
  </si>
  <si>
    <t>Capital expenditures % of revenue</t>
  </si>
  <si>
    <t>D&amp;A % of revenue</t>
  </si>
  <si>
    <t>Stock-based compensation ($mm)</t>
  </si>
  <si>
    <t>Share repurchases ($mm)</t>
  </si>
  <si>
    <t>Dividend growth %</t>
  </si>
  <si>
    <t>Scheduled debt repayment ($mm)</t>
  </si>
  <si>
    <t>Change in short-term investments ($mm)</t>
  </si>
  <si>
    <t>Interest rate earned on cash &amp; ST inv. %</t>
  </si>
  <si>
    <t>Interest rate paid on total debt %</t>
  </si>
  <si>
    <t>Diluted share count change %</t>
  </si>
  <si>
    <t>SOURCE &amp; METHOD NOTES</t>
  </si>
  <si>
    <t>NIKE, Inc. — Live Valuation Engine</t>
  </si>
  <si>
    <t>SCENARIO SWITCH — the single assumption cell that drives the entire workbook</t>
  </si>
  <si>
    <t>Active scenario</t>
  </si>
  <si>
    <t>Base</t>
  </si>
  <si>
    <t>← change this cell only</t>
  </si>
  <si>
    <t>SCENARIO DRIVER LIBRARY — documented inputs; edit only here to redefine a scenario</t>
  </si>
  <si>
    <t>Scenario</t>
  </si>
  <si>
    <t>Rev growth FY25E</t>
  </si>
  <si>
    <t>Rev growth FY26E</t>
  </si>
  <si>
    <t>Rev growth FY27E</t>
  </si>
  <si>
    <t>Gross margin FY25E</t>
  </si>
  <si>
    <t>Gross margin FY26E</t>
  </si>
  <si>
    <t>Gross margin FY27E</t>
  </si>
  <si>
    <t>Comps/precedent tier</t>
  </si>
  <si>
    <t>Bear</t>
  </si>
  <si>
    <t>Low</t>
  </si>
  <si>
    <t>Median</t>
  </si>
  <si>
    <t>Bull</t>
  </si>
  <si>
    <t>High</t>
  </si>
  <si>
    <t>ACTIVE DRIVERS (LIVE) — INDEX/MATCH pull from the library row matching the switch</t>
  </si>
  <si>
    <t>VALUATION TIER LOOKUP — Comps &amp; Precedents outputs indexed by tier</t>
  </si>
  <si>
    <t>Tier</t>
  </si>
  <si>
    <t>Comps EV/Revenue price</t>
  </si>
  <si>
    <t>Comps EV/EBITDA price</t>
  </si>
  <si>
    <t>Precedent EV/EBITDA price</t>
  </si>
  <si>
    <t>LIVE VALUATION OUTPUT — recalculates the instant the switch above changes</t>
  </si>
  <si>
    <t>Methodology</t>
  </si>
  <si>
    <t>Implied Price ($)</t>
  </si>
  <si>
    <t>Live link</t>
  </si>
  <si>
    <t>DCF — unlevered FCF (active scenario)</t>
  </si>
  <si>
    <t>DCF!C37</t>
  </si>
  <si>
    <t>Trading comps — EV/Revenue (tier-matched)</t>
  </si>
  <si>
    <t>INDEX/MATCH -&gt; Comps!G28:G33</t>
  </si>
  <si>
    <t>Trading comps — EV/EBITDA (tier-matched)</t>
  </si>
  <si>
    <t>Precedent transactions — EV/EBITDA (tier-matched)</t>
  </si>
  <si>
    <t>INDEX/MATCH -&gt; Precedents!G23:G25</t>
  </si>
  <si>
    <t>Precedent transactions — EV/Revenue (median only)</t>
  </si>
  <si>
    <t>Precedents!G26</t>
  </si>
  <si>
    <t>LBO — sponsor-affordable value (reference, not scenario-linked)</t>
  </si>
  <si>
    <t>Football Field!C10</t>
  </si>
  <si>
    <t>Blended range (excl. LBO) — Low / Mid / High</t>
  </si>
  <si>
    <t>Midpoint</t>
  </si>
  <si>
    <t>Current share price</t>
  </si>
  <si>
    <t>Implied upside/(downside) vs blended midpoint</t>
  </si>
  <si>
    <t>NIKE, Inc. — Consolidated Income Statement</t>
  </si>
  <si>
    <t>INCOME STATEMENT</t>
  </si>
  <si>
    <t>Revenues</t>
  </si>
  <si>
    <t>Cost of sales</t>
  </si>
  <si>
    <t>Gross Profit</t>
  </si>
  <si>
    <t xml:space="preserve">   Gross margin %</t>
  </si>
  <si>
    <t>Demand creation expense</t>
  </si>
  <si>
    <t>Operating overhead expense</t>
  </si>
  <si>
    <t>Total Selling &amp; Administrative Expense</t>
  </si>
  <si>
    <t>Operating Income (EBIT)</t>
  </si>
  <si>
    <t>Interest expense (income), net</t>
  </si>
  <si>
    <t>Other (income) expense, net</t>
  </si>
  <si>
    <t>Income Before Income Taxes</t>
  </si>
  <si>
    <t>Income tax expense</t>
  </si>
  <si>
    <t>Net Income</t>
  </si>
  <si>
    <t>Diluted EPS</t>
  </si>
  <si>
    <t>Diluted weighted-avg shares outstanding</t>
  </si>
  <si>
    <t>Memo: EBITDA</t>
  </si>
  <si>
    <t>Memo: D&amp;A</t>
  </si>
  <si>
    <t>NIKE, Inc. — Consolidated Balance Sheet</t>
  </si>
  <si>
    <t>BALANCE SHEET</t>
  </si>
  <si>
    <t>Cash and cash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</si>
  <si>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</si>
  <si>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</si>
  <si>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</si>
  <si>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</si>
  <si>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</si>
  <si>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Property, plant and equipment, net</t>
  </si>
  <si>
    <t>Operating lease right-of-use assets, net</t>
  </si>
  <si>
    <t>Identifiable intangible assets, net</t>
  </si>
  <si>
    <t>Goodwill</t>
  </si>
  <si>
    <t>Deferred income taxes and other assets</t>
  </si>
  <si>
    <t>Total Assets</t>
  </si>
  <si>
    <t>Current Liabilities</t>
  </si>
  <si>
    <t>Current portion of long-term debt</t>
  </si>
  <si>
    <t>Notes payable</t>
  </si>
  <si>
    <t>Accounts payable</t>
  </si>
  <si>
    <t>Accrued liabilities</t>
  </si>
  <si>
    <t>Income taxes payable</t>
  </si>
  <si>
    <t>Operating lease liabilities (current)</t>
  </si>
  <si>
    <t>Total Current Liabilities</t>
  </si>
  <si>
    <t>Long-term debt</t>
  </si>
  <si>
    <t>Operating lease liabilities (non-current)</t>
  </si>
  <si>
    <t>Deferred income taxes and other liabilities</t>
  </si>
  <si>
    <t>Total Liabilities</t>
  </si>
  <si>
    <t>Shareholders' Equity</t>
  </si>
  <si>
    <t>Common stock (Class A and B)</t>
  </si>
  <si>
    <t>Capital in excess of stated value</t>
  </si>
  <si>
    <t>Accumulated other comprehensive income (loss)</t>
  </si>
  <si>
    <t>Retained earnings</t>
  </si>
  <si>
    <t>Total Shareholders' Equity</t>
  </si>
  <si>
    <t>Total Liabilities and Shareholders' Equity</t>
  </si>
  <si>
    <t>CHECK:  Total Assets less Total Liabilities &amp; Equity</t>
  </si>
  <si>
    <t>NIKE, Inc. — Consolidated Cash Flow Statement &amp; Supporting Schedules</t>
  </si>
  <si>
    <t>CASH FLOW STATEMENT</t>
  </si>
  <si>
    <t>Cash Provided by Operations</t>
  </si>
  <si>
    <t>Net income</t>
  </si>
  <si>
    <t>Depreciation &amp; amortization</t>
  </si>
  <si>
    <t>Stock-based comp. &amp; other non-cash</t>
  </si>
  <si>
    <t>Changes in working capital</t>
  </si>
  <si>
    <t>Cash Used to Invest</t>
  </si>
  <si>
    <t>Capital expenditures</t>
  </si>
  <si>
    <t>Net (purchases) sales of short-term investments</t>
  </si>
  <si>
    <t>Other investing activities</t>
  </si>
  <si>
    <t>Cash Used to Finance</t>
  </si>
  <si>
    <t>Net repurchases of common stock</t>
  </si>
  <si>
    <t>Dividends — common and preferred</t>
  </si>
  <si>
    <t>Net change in debt &amp; other financing</t>
  </si>
  <si>
    <t>Effect of exchange rate changes</t>
  </si>
  <si>
    <t>Net Increase (Decrease) in Cash</t>
  </si>
  <si>
    <t>Cash and cash equivalents, beginning of year</t>
  </si>
  <si>
    <t>Cash and Cash Equivalents, End of Year</t>
  </si>
  <si>
    <t>DEBT &amp; INTEREST SCHEDULE</t>
  </si>
  <si>
    <t>Total debt — beginning of year</t>
  </si>
  <si>
    <t xml:space="preserve">  Less: scheduled repayment</t>
  </si>
  <si>
    <t>Total debt — end of year</t>
  </si>
  <si>
    <t>Net interest expense (income)</t>
  </si>
  <si>
    <t xml:space="preserve">   Interest expense on average debt</t>
  </si>
  <si>
    <t xml:space="preserve">   Interest income on average cash &amp; ST investments</t>
  </si>
  <si>
    <t>WORKING CAPITAL SCHEDULE  (increase in net WC = use of cash)</t>
  </si>
  <si>
    <t>Change in net working capital</t>
  </si>
  <si>
    <t xml:space="preserve">   Net working capital (operating)</t>
  </si>
  <si>
    <t>NIKE, Inc. — Model Output Summary</t>
  </si>
  <si>
    <t>KEY METRICS</t>
  </si>
  <si>
    <t>Revenue</t>
  </si>
  <si>
    <t xml:space="preserve">  Growth %</t>
  </si>
  <si>
    <t>Gross profit</t>
  </si>
  <si>
    <t xml:space="preserve">  Gross margin %</t>
  </si>
  <si>
    <t>EBIT</t>
  </si>
  <si>
    <t xml:space="preserve">  EBIT margin %</t>
  </si>
  <si>
    <t>EBITDA</t>
  </si>
  <si>
    <t xml:space="preserve">  Net margin %</t>
  </si>
  <si>
    <t>UNLEVERED FREE CASH FLOW  (the input to a DCF)</t>
  </si>
  <si>
    <t>Less: taxes on EBIT</t>
  </si>
  <si>
    <t>NOPAT</t>
  </si>
  <si>
    <t>Plus: D&amp;A</t>
  </si>
  <si>
    <t>Less: capital expenditures</t>
  </si>
  <si>
    <t>Less: increase in working capital</t>
  </si>
  <si>
    <t>Unlevered Free Cash Flow</t>
  </si>
  <si>
    <t>BALANCE SHEET INTEGRITY CHECK  (must be zero in every column)</t>
  </si>
  <si>
    <t>Assets less Liabilities &amp; Equity</t>
  </si>
  <si>
    <t>Note: unlevered FCF above is calculated before interest, so it is the correct numerator to discount at WACC in a DCF.</t>
  </si>
  <si>
    <t>NIKE, Inc. — Cost of Capital (CAPM → WACC)</t>
  </si>
  <si>
    <t>MARKET DATA</t>
  </si>
  <si>
    <t>Nike share price ($)</t>
  </si>
  <si>
    <t>Diluted shares outstanding (mm)</t>
  </si>
  <si>
    <t>Market capitalisation (equity value)</t>
  </si>
  <si>
    <t>Total debt (incl. current portion + notes payable)</t>
  </si>
  <si>
    <t>Less: cash and short-term investments</t>
  </si>
  <si>
    <t>Net debt / (net cash)</t>
  </si>
  <si>
    <t>Enterprise value</t>
  </si>
  <si>
    <t>COST OF EQUITY — CAPM</t>
  </si>
  <si>
    <t>Risk-free rate (US 10-Yr Treasury, Aug 2026)</t>
  </si>
  <si>
    <t>Levered beta (5-yr monthly)</t>
  </si>
  <si>
    <t>Equity risk premium (Damodaran US)</t>
  </si>
  <si>
    <t>Cost of equity  =  Rf + β × ERP</t>
  </si>
  <si>
    <t>COST OF DEBT</t>
  </si>
  <si>
    <t>Pre-tax cost of debt</t>
  </si>
  <si>
    <t>Marginal tax rate</t>
  </si>
  <si>
    <t>After-tax cost of debt  =  Kd × (1 − t)</t>
  </si>
  <si>
    <t>WACC</t>
  </si>
  <si>
    <t>Equity weight  E / (D+E)</t>
  </si>
  <si>
    <t>Debt weight  D / (D+E)</t>
  </si>
  <si>
    <t>WACC  =  We × Ke + Wd × Kd × (1 − t)</t>
  </si>
  <si>
    <t>NIKE, Inc. — Discounted Cash Flow Valuation</t>
  </si>
  <si>
    <t>FREE CASH FLOW BUILD</t>
  </si>
  <si>
    <t>FY2028E</t>
  </si>
  <si>
    <t>FY2029E</t>
  </si>
  <si>
    <t xml:space="preserve">   FCF growth %</t>
  </si>
  <si>
    <t>Stub-year FCF growth (FY28–FY29)</t>
  </si>
  <si>
    <t>DISCOUNTING</t>
  </si>
  <si>
    <t>WACC  (from WACC tab)</t>
  </si>
  <si>
    <t>Terminal growth rate  (g)</t>
  </si>
  <si>
    <t>Discount period (years)</t>
  </si>
  <si>
    <t>Discount factor  =  1 / (1+WACC)^n</t>
  </si>
  <si>
    <t>PV of unlevered FCF</t>
  </si>
  <si>
    <t>TERMINAL VALUE  (Gordon Growth)</t>
  </si>
  <si>
    <t>Final-year FCF (FY2029E)</t>
  </si>
  <si>
    <t>Terminal value  =  FCF × (1+g) / (WACC − g)</t>
  </si>
  <si>
    <t>PV of terminal value</t>
  </si>
  <si>
    <t>VALUATION BRIDGE</t>
  </si>
  <si>
    <t>Sum of PV of forecast FCF (FY25–FY29)</t>
  </si>
  <si>
    <t>Plus: PV of terminal value</t>
  </si>
  <si>
    <t>Enterprise Value</t>
  </si>
  <si>
    <t xml:space="preserve">   TV as % of EV</t>
  </si>
  <si>
    <t>Less: net debt / plus net cash</t>
  </si>
  <si>
    <t>Implied Equity Value</t>
  </si>
  <si>
    <t>Implied Share Price</t>
  </si>
  <si>
    <t>Implied upside / (downside)</t>
  </si>
  <si>
    <t>SENSITIVITY — IMPLIED SHARE PRICE:  WACC (across) vs TERMINAL GROWTH (down)</t>
  </si>
  <si>
    <t>g  \  WACC</t>
  </si>
  <si>
    <t>Trading Comparables — Athletic Footwear &amp; Apparel</t>
  </si>
  <si>
    <t>Company</t>
  </si>
  <si>
    <t>Ticker</t>
  </si>
  <si>
    <t>Share Price</t>
  </si>
  <si>
    <t>Diluted Shares (M)</t>
  </si>
  <si>
    <t>Market Cap</t>
  </si>
  <si>
    <t>Net Debt</t>
  </si>
  <si>
    <t>LTM Revenue</t>
  </si>
  <si>
    <t>LTM EBITDA</t>
  </si>
  <si>
    <t>EV / Revenue</t>
  </si>
  <si>
    <t>EV / EBITDA</t>
  </si>
  <si>
    <t>Lululemon Athletica</t>
  </si>
  <si>
    <t>NASDAQ: LULU</t>
  </si>
  <si>
    <t>Deckers Outdoor</t>
  </si>
  <si>
    <t>NYSE: DECK</t>
  </si>
  <si>
    <t>Skechers U.S.A.</t>
  </si>
  <si>
    <t>NYSE: SKX</t>
  </si>
  <si>
    <t>Under Armour</t>
  </si>
  <si>
    <t>NYSE: UAA</t>
  </si>
  <si>
    <t>Adidas AG</t>
  </si>
  <si>
    <t>XETRA: ADS</t>
  </si>
  <si>
    <t>Puma SE</t>
  </si>
  <si>
    <t>XETRA: PUM</t>
  </si>
  <si>
    <t>ASICS Corporation</t>
  </si>
  <si>
    <t>TYO: 7936</t>
  </si>
  <si>
    <t>Anta Sports Products</t>
  </si>
  <si>
    <t>HKEX: 2020</t>
  </si>
  <si>
    <t>On Holding AG</t>
  </si>
  <si>
    <t>NYSE: ONON</t>
  </si>
  <si>
    <t>V.F. Corporation</t>
  </si>
  <si>
    <t>NYSE: VFC</t>
  </si>
  <si>
    <t>Peer Median</t>
  </si>
  <si>
    <t>Peer Mean</t>
  </si>
  <si>
    <t>Peer Low</t>
  </si>
  <si>
    <t>Peer High</t>
  </si>
  <si>
    <t>IMPLIED NIKE VALUATION AT PEER MULTIPLES</t>
  </si>
  <si>
    <t>Multiple</t>
  </si>
  <si>
    <t>Metric</t>
  </si>
  <si>
    <t>Implied EV</t>
  </si>
  <si>
    <t>Implied Equity</t>
  </si>
  <si>
    <t>Implied Price</t>
  </si>
  <si>
    <t>Nike LTM revenue (FY2024A)</t>
  </si>
  <si>
    <t>Nike LTM EBITDA (FY2024A)</t>
  </si>
  <si>
    <t>EV / Revenue — peer median</t>
  </si>
  <si>
    <t>EV / EBITDA — peer median</t>
  </si>
  <si>
    <t>EV / Revenue — peer low</t>
  </si>
  <si>
    <t>EV / EBITDA — peer low</t>
  </si>
  <si>
    <t>EV / Revenue — peer high</t>
  </si>
  <si>
    <t>EV / EBITDA — peer high</t>
  </si>
  <si>
    <t>NIKE, Inc. — Street-Standard Trading Comps (LTM &amp; Forward)</t>
  </si>
  <si>
    <t>TREASURY-STOCK-METHOD (TSM) DILUTED SHARES — NIKE</t>
  </si>
  <si>
    <t>Basic weighted-avg shares outstanding (mm)</t>
  </si>
  <si>
    <t>Current share price ($)</t>
  </si>
  <si>
    <t>In-the-money options outstanding (mm)</t>
  </si>
  <si>
    <t>Weighted-avg exercise price ($)</t>
  </si>
  <si>
    <t>Proceeds from option exercise ($mm)</t>
  </si>
  <si>
    <t>Shares repurchased from option proceeds (mm)</t>
  </si>
  <si>
    <t>Net new shares from options (mm)</t>
  </si>
  <si>
    <t>Unvested RSUs / PSUs outstanding (mm)</t>
  </si>
  <si>
    <t>Unrecognized comp. cost assumed as proceeds ($mm)</t>
  </si>
  <si>
    <t>Shares repurchased from RSU proceeds (mm)</t>
  </si>
  <si>
    <t>Net new shares from RSUs (mm)</t>
  </si>
  <si>
    <t>TSM diluted shares outstanding (mm)</t>
  </si>
  <si>
    <t>Reported GAAP diluted shares (10-K weighted avg)</t>
  </si>
  <si>
    <t>Variance (TSM vs. reported)</t>
  </si>
  <si>
    <t>PEER SET — LTM &amp; NTM FINANCIALS, CALENDARIZED TO A COMMON DEC FISCAL YEAR-END</t>
  </si>
  <si>
    <t>FYE (month)</t>
  </si>
  <si>
    <t>Calendarization factor</t>
  </si>
  <si>
    <t>LTM Revenue (reported)</t>
  </si>
  <si>
    <t>LTM EBITDA (reported)</t>
  </si>
  <si>
    <t>NTM growth % (Street est.)</t>
  </si>
  <si>
    <t>Calendarized LTM Revenue</t>
  </si>
  <si>
    <t>Calendarized LTM EBITDA</t>
  </si>
  <si>
    <t>NTM Revenue (Street est.)</t>
  </si>
  <si>
    <t>NTM EBITDA (Street est.)</t>
  </si>
  <si>
    <t>EV (from Comps tab)</t>
  </si>
  <si>
    <t>EV / Cal. LTM Rev</t>
  </si>
  <si>
    <t>EV / Cal. LTM EBITDA</t>
  </si>
  <si>
    <t>EV / NTM Revenue</t>
  </si>
  <si>
    <t>EV / NTM EBITDA</t>
  </si>
  <si>
    <t>Jan</t>
  </si>
  <si>
    <t>Mar</t>
  </si>
  <si>
    <t>Dec</t>
  </si>
  <si>
    <t>DRIVER-BASED PREMIUM / DISCOUNT MEMO</t>
  </si>
  <si>
    <t>Driver</t>
  </si>
  <si>
    <t>Nike</t>
  </si>
  <si>
    <t>Peer median</t>
  </si>
  <si>
    <t>Nike vs. peer (pts)</t>
  </si>
  <si>
    <t>Sensitivity (x per pt)</t>
  </si>
  <si>
    <t>Premium/(discount)</t>
  </si>
  <si>
    <t>Revenue growth, LTM-&gt;NTM</t>
  </si>
  <si>
    <t>EBITDA margin, NTM</t>
  </si>
  <si>
    <t>Total suggested premium/(discount) to peer median multiple</t>
  </si>
  <si>
    <t>CROSS-SECTOR MULTIPLE MAP</t>
  </si>
  <si>
    <t>Sector</t>
  </si>
  <si>
    <t>Members</t>
  </si>
  <si>
    <t>EV/NTM Revenue (median)</t>
  </si>
  <si>
    <t>EV/NTM EBITDA (median)</t>
  </si>
  <si>
    <t>Premium / Performance Athletic</t>
  </si>
  <si>
    <t>Lululemon; Deckers; ASICS; On</t>
  </si>
  <si>
    <t>Global Diversified Sportswear</t>
  </si>
  <si>
    <t>Adidas; Puma; Anta; Skechers</t>
  </si>
  <si>
    <t>Value / Turnaround Apparel</t>
  </si>
  <si>
    <t>Under; V.F.</t>
  </si>
  <si>
    <t>Nike (memo — closest fit: Premium / Performance Athletic)</t>
  </si>
  <si>
    <t>IMPLIED NIKE VALUATION — STREET-STANDARD BUILD</t>
  </si>
  <si>
    <t>Basis</t>
  </si>
  <si>
    <t>Nike Metric</t>
  </si>
  <si>
    <t>Implied Price (GAAP shares)</t>
  </si>
  <si>
    <t>Implied Price (TSM shares, memo)</t>
  </si>
  <si>
    <t>EV / Cal. LTM Revenue — peer median</t>
  </si>
  <si>
    <t>EV / Cal. LTM EBITDA — peer median</t>
  </si>
  <si>
    <t>EV / NTM Revenue — peer median</t>
  </si>
  <si>
    <t>EV / NTM EBITDA — peer median</t>
  </si>
  <si>
    <t>EV / NTM EBITDA — premium/discount-adjusted</t>
  </si>
  <si>
    <t>EV / NTM Revenue — premium/discount-adjusted</t>
  </si>
  <si>
    <t>Precedent Transactions — Footwear &amp; Athletic Apparel</t>
  </si>
  <si>
    <t>Date</t>
  </si>
  <si>
    <t>Acquirer</t>
  </si>
  <si>
    <t>Target</t>
  </si>
  <si>
    <t>Deal Value (EV)</t>
  </si>
  <si>
    <t>Target LTM Revenue</t>
  </si>
  <si>
    <t>Target LTM EBITDA</t>
  </si>
  <si>
    <t>Aug 2021</t>
  </si>
  <si>
    <t>Authentic Brands Group</t>
  </si>
  <si>
    <t>Reebok (from Adidas)</t>
  </si>
  <si>
    <t>Jun 2021</t>
  </si>
  <si>
    <t>Anta Sports Consortium</t>
  </si>
  <si>
    <t>Amer Sports (Salomon / Arc'teryx)</t>
  </si>
  <si>
    <t>Nov 2020</t>
  </si>
  <si>
    <t>VF Corporation</t>
  </si>
  <si>
    <t>Supreme</t>
  </si>
  <si>
    <t>Jun 2019</t>
  </si>
  <si>
    <t>PAI Partners</t>
  </si>
  <si>
    <t>Asics Europe (Onitsuka Tiger stake)</t>
  </si>
  <si>
    <t>Aug 2005</t>
  </si>
  <si>
    <t>adidas-Salomon AG</t>
  </si>
  <si>
    <t>Reebok International</t>
  </si>
  <si>
    <t>Nov 2012</t>
  </si>
  <si>
    <t>Apax Partners</t>
  </si>
  <si>
    <t>Cole Haan (from Nike)</t>
  </si>
  <si>
    <t>Iconix Brand Group</t>
  </si>
  <si>
    <t>Umbro (from Nike)</t>
  </si>
  <si>
    <t>Jan 2024</t>
  </si>
  <si>
    <t>Authentic Brands Group / Aldo Group</t>
  </si>
  <si>
    <t>Sperry (from Wolverine Worldwide)</t>
  </si>
  <si>
    <t>Mean</t>
  </si>
  <si>
    <t>IMPLIED NIKE VALUATION AT PRECEDENT MULTIPLES</t>
  </si>
  <si>
    <t>EV / EBITDA — median</t>
  </si>
  <si>
    <t>EV / EBITDA — low</t>
  </si>
  <si>
    <t>EV / EBITDA — high</t>
  </si>
  <si>
    <t>EV / Revenue — median</t>
  </si>
  <si>
    <t>NIKE, Inc. — Leveraged Buyout Analysis</t>
  </si>
  <si>
    <t>TRANSACTION ASSUMPTIONS</t>
  </si>
  <si>
    <t>Entry multiple (x LTM EBITDA)</t>
  </si>
  <si>
    <t>LTM EBITDA (FY2024A)</t>
  </si>
  <si>
    <t>Entry enterprise value</t>
  </si>
  <si>
    <t>Exit multiple (x EBITDA)</t>
  </si>
  <si>
    <t>Holding period (years)</t>
  </si>
  <si>
    <t>Total debt % of capitalisation</t>
  </si>
  <si>
    <t>Sponsor equity % of capitalisation</t>
  </si>
  <si>
    <t>Total debt raised</t>
  </si>
  <si>
    <t>Sponsor equity cheque</t>
  </si>
  <si>
    <t>FINANCING STRUCTURE</t>
  </si>
  <si>
    <t>% of Debt</t>
  </si>
  <si>
    <t>Amount</t>
  </si>
  <si>
    <t>Rate</t>
  </si>
  <si>
    <t>Interest</t>
  </si>
  <si>
    <t>Term Loan B  (SOFR + 275bps)</t>
  </si>
  <si>
    <t>Senior Notes</t>
  </si>
  <si>
    <t>Total</t>
  </si>
  <si>
    <t>Blended cost of debt</t>
  </si>
  <si>
    <t>Entry leverage (Total Debt / EBITDA)</t>
  </si>
  <si>
    <t>OPERATING &amp; CASH FLOW PROJECTIONS</t>
  </si>
  <si>
    <t xml:space="preserve">   EBITDA margin %</t>
  </si>
  <si>
    <t>Less: D&amp;A</t>
  </si>
  <si>
    <t>Less: cash interest</t>
  </si>
  <si>
    <t>Pre-tax income</t>
  </si>
  <si>
    <t>Less: taxes</t>
  </si>
  <si>
    <t>Free Cash Flow (pre debt paydown)</t>
  </si>
  <si>
    <t>Stub-year growth (FY28–FY29)</t>
  </si>
  <si>
    <t>LBO tax rate</t>
  </si>
  <si>
    <t>DEBT SCHEDULE  (100% cash sweep)</t>
  </si>
  <si>
    <t>Debt — beginning of year</t>
  </si>
  <si>
    <t xml:space="preserve">   Blended interest rate</t>
  </si>
  <si>
    <t>Cash interest expense</t>
  </si>
  <si>
    <t>Free cash flow available for sweep</t>
  </si>
  <si>
    <t>Debt repayment (sweep)</t>
  </si>
  <si>
    <t>Debt — end of year</t>
  </si>
  <si>
    <t xml:space="preserve">   Net leverage (Debt / EBITDA)</t>
  </si>
  <si>
    <t>EXIT &amp; RETURNS</t>
  </si>
  <si>
    <t>Exit-year EBITDA (FY2029E)</t>
  </si>
  <si>
    <t>Exit multiple</t>
  </si>
  <si>
    <t>Exit enterprise value</t>
  </si>
  <si>
    <t>Less: net debt at exit</t>
  </si>
  <si>
    <t>Exit equity value to sponsor</t>
  </si>
  <si>
    <t>Sponsor equity invested</t>
  </si>
  <si>
    <t>Money-on-money multiple (MoM)</t>
  </si>
  <si>
    <t>IRR</t>
  </si>
  <si>
    <t>SENSITIVITY — IRR:  ENTRY MULTIPLE (down) vs EXIT MULTIPLE (across)</t>
  </si>
  <si>
    <t>Entry \ Exit</t>
  </si>
  <si>
    <t>Nike / Skechers — Merger Model (Accretion / Dilution)</t>
  </si>
  <si>
    <t>Skechers standalone equity value</t>
  </si>
  <si>
    <t>Offer premium</t>
  </si>
  <si>
    <t>Implied purchase price (equity)</t>
  </si>
  <si>
    <t>Plus: target net debt assumed</t>
  </si>
  <si>
    <t>Implied transaction enterprise value</t>
  </si>
  <si>
    <t xml:space="preserve">   Implied EV / LTM EBITDA</t>
  </si>
  <si>
    <t>Stock consideration %</t>
  </si>
  <si>
    <t>Cash / new debt consideration %</t>
  </si>
  <si>
    <t>Interest rate on new acquisition debt</t>
  </si>
  <si>
    <t>Nike share price</t>
  </si>
  <si>
    <t>New Nike shares issued (mm)</t>
  </si>
  <si>
    <t>New acquisition debt raised</t>
  </si>
  <si>
    <t>SYNERGIES</t>
  </si>
  <si>
    <t>Run-rate synergies (% of combined revenue)</t>
  </si>
  <si>
    <t>Combined revenue (FY2025E)</t>
  </si>
  <si>
    <t>Full run-rate synergies</t>
  </si>
  <si>
    <t>Phase-in %</t>
  </si>
  <si>
    <t>Year 1</t>
  </si>
  <si>
    <t>Year 2</t>
  </si>
  <si>
    <t>Year 3</t>
  </si>
  <si>
    <t>Synergy phase-in</t>
  </si>
  <si>
    <t>Synergies realised</t>
  </si>
  <si>
    <t>ACCRETION / DILUTION  (FY2025E pro forma, Year 1 synergies)</t>
  </si>
  <si>
    <t>Nike standalone net income</t>
  </si>
  <si>
    <t>Skechers standalone net income</t>
  </si>
  <si>
    <t>Plus: after-tax synergies (Year 1)</t>
  </si>
  <si>
    <t>Less: after-tax interest on new debt</t>
  </si>
  <si>
    <t>Less: after-tax foregone interest on cash</t>
  </si>
  <si>
    <t>Pro forma net income</t>
  </si>
  <si>
    <t>Nike standalone diluted shares (mm)</t>
  </si>
  <si>
    <t>Plus: new shares issued (mm)</t>
  </si>
  <si>
    <t>Pro forma diluted shares (mm)</t>
  </si>
  <si>
    <t>Nike standalone EPS</t>
  </si>
  <si>
    <t>Pro forma EPS</t>
  </si>
  <si>
    <t>Accretion / (dilution) — $</t>
  </si>
  <si>
    <t>Accretion / (dilution) — %</t>
  </si>
  <si>
    <t>Breakeven synergies required ($mm, pre-tax)</t>
  </si>
  <si>
    <t>SCENARIO COMPARISON — CASH vs STOCK vs MIXED CONSIDERATION</t>
  </si>
  <si>
    <t>All-Cash</t>
  </si>
  <si>
    <t>All-Stock</t>
  </si>
  <si>
    <t>Mixed (Deal Terms)</t>
  </si>
  <si>
    <t>New acquisition debt raised ($mm)</t>
  </si>
  <si>
    <t>After-tax interest on new debt</t>
  </si>
  <si>
    <t>BREAKEVEN PREMIUM  (solve for the offer premium at which pro forma EPS = standalone EPS, at current stock/cash mix)</t>
  </si>
  <si>
    <t>Breakeven purchase price (equity) — with Year 1 synergies</t>
  </si>
  <si>
    <t>Breakeven premium — with Year 1 synergies</t>
  </si>
  <si>
    <t>Breakeven purchase price (equity) — no synergies (Year 0)</t>
  </si>
  <si>
    <t>Breakeven premium — no synergies (Year 0)</t>
  </si>
  <si>
    <t>Actual offer premium (current assumption)</t>
  </si>
  <si>
    <t>Cushion — breakeven premium less actual premium (with synergies, pp)</t>
  </si>
  <si>
    <t>SENSITIVITY — EPS ACCRETION / (DILUTION) %:  PREMIUM (down) vs STOCK MIX (across)</t>
  </si>
  <si>
    <t>Prem \ Stock%</t>
  </si>
  <si>
    <t>NIKE, Inc. — Valuation Summary (Football Field)</t>
  </si>
  <si>
    <t>Range Width</t>
  </si>
  <si>
    <t>DCF — WACC ± 50bps, g ± 50bps</t>
  </si>
  <si>
    <t>Sensitivity grid corners</t>
  </si>
  <si>
    <t>Trading comps — EV / EBITDA</t>
  </si>
  <si>
    <t>Peer low / median / high</t>
  </si>
  <si>
    <t>Trading comps — EV / Revenue</t>
  </si>
  <si>
    <t>Precedent transactions — EV / EBITDA</t>
  </si>
  <si>
    <t>Deal low / median / high</t>
  </si>
  <si>
    <t>LBO — sponsor-affordable value</t>
  </si>
  <si>
    <t>Entry EV at 9.5x, ±</t>
  </si>
  <si>
    <t>Overall range (excl. LBO)</t>
  </si>
  <si>
    <t>Position vs blended 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</si>
</sst>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;\(0.0%\);\-"/>
    <numFmt numFmtId="165" formatCode="\$#,##0;&quot;($&quot;#,##0\);\-"/>
    <numFmt numFmtId="166" formatCode="0.0"/>
    <numFmt numFmtId="167" formatCode="\$#,##0.00;&quot;($&quot;#,##0.00\);\-"/>
    <numFmt numFmtId="168" formatCode="\$#,##0.00"/>
    <numFmt numFmtId="169" formatCode="#,##0.0"/>
    <numFmt numFmtId="170" formatCode="0.00%;\(0.00%\);\-"/>
    <numFmt numFmtId="171" formatCode="0.000"/>
    <numFmt numFmtId="172" formatCode="0.00\x"/>
    <numFmt numFmtId="173" formatCode="0.00\x;\(0.00&quot;x)&quot;;\-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000000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000000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i/>
      <sz val="9"/>
      <color rgb="FF000000"/>
      <name val="Arial"/>
      <charset val="1"/>
    </font>
    <font>
      <b/>
      <u/>
      <sz val="10"/>
      <name val="Arial"/>
      <charset val="1"/>
    </font>
    <font>
      <b/>
      <sz val="10"/>
      <color rgb="FFFFFFFF"/>
      <name val="Arial"/>
      <charset val="1"/>
    </font>
    <font>
      <b/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right"/>
    </xf>
    <xf numFmtId="0" fontId="3" fillId="3" borderId="0" xfId="0" applyFont="1" applyFill="1"/>
    <xf numFmtId="0" fontId="0" fillId="3" borderId="0" xfId="0" applyFill="1"/>
    <xf numFmtId="0" fontId="4" fillId="0" borderId="0" xfId="0" applyFont="1" applyAlignment="1">
      <alignment indent="1"/>
    </xf>
    <xf numFmtId="164" fontId="4" fillId="0" borderId="0" xfId="0" applyNumberFormat="1" applyFont="1"/>
    <xf numFmtId="164" fontId="5" fillId="0" borderId="0" xfId="0" applyNumberFormat="1" applyFont="1"/>
    <xf numFmtId="165" fontId="4" fillId="0" borderId="0" xfId="0" applyNumberFormat="1" applyFont="1"/>
    <xf numFmtId="165" fontId="5" fillId="0" borderId="0" xfId="0" applyNumberFormat="1" applyFont="1"/>
    <xf numFmtId="166" fontId="4" fillId="0" borderId="0" xfId="0" applyNumberFormat="1" applyFont="1"/>
    <xf numFmtId="166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0" fontId="4" fillId="0" borderId="0" xfId="0" applyFont="1"/>
    <xf numFmtId="167" fontId="4" fillId="0" borderId="0" xfId="0" applyNumberFormat="1" applyFont="1"/>
    <xf numFmtId="165" fontId="0" fillId="0" borderId="0" xfId="0" applyNumberFormat="1"/>
    <xf numFmtId="165" fontId="0" fillId="0" borderId="2" xfId="0" applyNumberFormat="1" applyBorder="1"/>
    <xf numFmtId="164" fontId="0" fillId="0" borderId="0" xfId="0" applyNumberFormat="1"/>
    <xf numFmtId="165" fontId="0" fillId="0" borderId="3" xfId="0" applyNumberFormat="1" applyBorder="1"/>
    <xf numFmtId="168" fontId="0" fillId="0" borderId="0" xfId="0" applyNumberFormat="1"/>
    <xf numFmtId="169" fontId="5" fillId="0" borderId="0" xfId="0" applyNumberFormat="1" applyFont="1"/>
    <xf numFmtId="169" fontId="0" fillId="0" borderId="0" xfId="0" applyNumberFormat="1"/>
    <xf numFmtId="165" fontId="5" fillId="0" borderId="2" xfId="0" applyNumberFormat="1" applyFont="1" applyBorder="1"/>
    <xf numFmtId="0" fontId="10" fillId="0" borderId="0" xfId="0" applyFont="1"/>
    <xf numFmtId="165" fontId="3" fillId="0" borderId="0" xfId="0" applyNumberFormat="1" applyFont="1"/>
    <xf numFmtId="0" fontId="3" fillId="0" borderId="0" xfId="0" applyFont="1" applyAlignment="1">
      <alignment indent="1"/>
    </xf>
    <xf numFmtId="165" fontId="3" fillId="0" borderId="3" xfId="0" applyNumberFormat="1" applyFont="1" applyBorder="1"/>
    <xf numFmtId="167" fontId="5" fillId="0" borderId="0" xfId="0" applyNumberFormat="1" applyFont="1"/>
    <xf numFmtId="165" fontId="3" fillId="0" borderId="2" xfId="0" applyNumberFormat="1" applyFont="1" applyBorder="1"/>
    <xf numFmtId="170" fontId="5" fillId="0" borderId="0" xfId="0" applyNumberFormat="1" applyFont="1"/>
    <xf numFmtId="2" fontId="5" fillId="0" borderId="0" xfId="0" applyNumberFormat="1" applyFont="1"/>
    <xf numFmtId="170" fontId="3" fillId="0" borderId="2" xfId="0" applyNumberFormat="1" applyFont="1" applyBorder="1"/>
    <xf numFmtId="170" fontId="3" fillId="0" borderId="3" xfId="0" applyNumberFormat="1" applyFont="1" applyBorder="1"/>
    <xf numFmtId="170" fontId="3" fillId="0" borderId="0" xfId="0" applyNumberFormat="1" applyFont="1"/>
    <xf numFmtId="171" fontId="0" fillId="0" borderId="0" xfId="0" applyNumberFormat="1"/>
    <xf numFmtId="169" fontId="4" fillId="0" borderId="0" xfId="0" applyNumberFormat="1" applyFont="1"/>
    <xf numFmtId="167" fontId="3" fillId="0" borderId="3" xfId="0" applyNumberFormat="1" applyFont="1" applyBorder="1"/>
    <xf numFmtId="164" fontId="3" fillId="0" borderId="0" xfId="0" applyNumberFormat="1" applyFont="1"/>
    <xf numFmtId="170" fontId="3" fillId="0" borderId="0" xfId="0" applyNumberFormat="1" applyFont="1" applyAlignment="1">
      <alignment horizontal="center"/>
    </xf>
    <xf numFmtId="167" fontId="0" fillId="0" borderId="0" xfId="0" applyNumberFormat="1"/>
    <xf numFmtId="0" fontId="11" fillId="2" borderId="0" xfId="0" applyFont="1" applyFill="1" applyAlignment="1">
      <alignment horizontal="center" wrapText="1"/>
    </xf>
    <xf numFmtId="172" fontId="4" fillId="0" borderId="0" xfId="0" applyNumberFormat="1" applyFont="1"/>
    <xf numFmtId="0" fontId="3" fillId="0" borderId="0" xfId="0" applyFont="1" applyAlignment="1">
      <alignment horizontal="center"/>
    </xf>
    <xf numFmtId="167" fontId="3" fillId="0" borderId="0" xfId="0" applyNumberFormat="1" applyFont="1"/>
    <xf numFmtId="169" fontId="3" fillId="0" borderId="0" xfId="0" applyNumberFormat="1" applyFont="1"/>
    <xf numFmtId="0" fontId="3" fillId="0" borderId="0" xfId="0" applyFont="1" applyAlignment="1">
      <alignment wrapText="1"/>
    </xf>
    <xf numFmtId="171" fontId="5" fillId="0" borderId="0" xfId="0" applyNumberFormat="1" applyFont="1"/>
    <xf numFmtId="173" fontId="4" fillId="0" borderId="0" xfId="0" applyNumberFormat="1" applyFont="1"/>
    <xf numFmtId="173" fontId="3" fillId="0" borderId="0" xfId="0" applyNumberFormat="1" applyFont="1"/>
    <xf numFmtId="0" fontId="12" fillId="0" borderId="0" xfId="0" applyFont="1"/>
    <xf numFmtId="172" fontId="3" fillId="0" borderId="0" xfId="0" applyNumberFormat="1" applyFont="1"/>
    <xf numFmtId="172" fontId="5" fillId="0" borderId="0" xfId="0" applyNumberFormat="1" applyFont="1"/>
    <xf numFmtId="1" fontId="5" fillId="0" borderId="0" xfId="0" applyNumberFormat="1" applyFont="1"/>
    <xf numFmtId="170" fontId="0" fillId="0" borderId="0" xfId="0" applyNumberFormat="1"/>
    <xf numFmtId="172" fontId="0" fillId="0" borderId="0" xfId="0" applyNumberFormat="1"/>
    <xf numFmtId="172" fontId="3" fillId="0" borderId="0" xfId="0" applyNumberFormat="1" applyFont="1" applyAlignment="1">
      <alignment horizontal="center"/>
    </xf>
    <xf numFmtId="169" fontId="3" fillId="0" borderId="2" xfId="0" applyNumberFormat="1" applyFont="1" applyBorder="1"/>
    <xf numFmtId="164" fontId="3" fillId="0" borderId="3" xfId="0" applyNumberFormat="1" applyFont="1" applyBorder="1"/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zoomScaleNormal="100" workbookViewId="0">
      <pane xSplit="1" ySplit="6" topLeftCell="B28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46" customWidth="1"/>
    <col min="2" max="7" width="13" customWidth="1"/>
    <col min="8" max="8" width="3" customWidth="1"/>
  </cols>
  <sheetData>
    <row r="1" spans="1:8" ht="21.75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/>
    </row>
    <row r="4" spans="1:8" ht="15" customHeight="1" x14ac:dyDescent="0.3">
      <c r="A4" s="4" t="s">
        <v>1</v>
      </c>
    </row>
    <row r="5" spans="1:8" ht="15" customHeight="1" x14ac:dyDescent="0.3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</row>
    <row r="6" spans="1:8" ht="15" customHeight="1" x14ac:dyDescent="0.3">
      <c r="A6" s="6" t="s">
        <v>8</v>
      </c>
      <c r="B6" s="7"/>
      <c r="C6" s="7"/>
      <c r="D6" s="7"/>
      <c r="E6" s="7"/>
      <c r="F6" s="7"/>
      <c r="G6" s="7"/>
    </row>
    <row r="7" spans="1:8" ht="15" customHeight="1" x14ac:dyDescent="0.3">
      <c r="A7" s="8" t="s">
        <v>9</v>
      </c>
      <c r="B7" s="9"/>
      <c r="C7" s="9">
        <f>IS!C7/IS!B7-1</f>
        <v>9.6488974523656568E-2</v>
      </c>
      <c r="D7" s="9">
        <f>IS!D7/IS!C7-1</f>
        <v>2.8310912392370824E-3</v>
      </c>
      <c r="E7" s="9">
        <f>'Live Valuation Engine'!B15</f>
        <v>5.0000000000000001E-3</v>
      </c>
      <c r="F7" s="9">
        <f>'Live Valuation Engine'!C15</f>
        <v>3.5000000000000003E-2</v>
      </c>
      <c r="G7" s="9">
        <f>'Live Valuation Engine'!D15</f>
        <v>4.4999999999999998E-2</v>
      </c>
    </row>
    <row r="8" spans="1:8" ht="15" customHeight="1" x14ac:dyDescent="0.3">
      <c r="A8" s="8" t="s">
        <v>10</v>
      </c>
      <c r="B8" s="9">
        <f>IS!B9/IS!B7</f>
        <v>0.45983729394134021</v>
      </c>
      <c r="C8" s="9">
        <f>IS!C9/IS!C7</f>
        <v>0.43524610969014194</v>
      </c>
      <c r="D8" s="9">
        <f>IS!D9/IS!D7</f>
        <v>0.44682839453292317</v>
      </c>
      <c r="E8" s="9">
        <f>'Live Valuation Engine'!E15</f>
        <v>0.44500000000000001</v>
      </c>
      <c r="F8" s="9">
        <f>'Live Valuation Engine'!F15</f>
        <v>0.45</v>
      </c>
      <c r="G8" s="9">
        <f>'Live Valuation Engine'!G15</f>
        <v>0.45300000000000001</v>
      </c>
    </row>
    <row r="9" spans="1:8" ht="15" customHeight="1" x14ac:dyDescent="0.3">
      <c r="A9" s="8" t="s">
        <v>11</v>
      </c>
      <c r="B9" s="9">
        <f>IS!B11/IS!B7</f>
        <v>8.2423463926354093E-2</v>
      </c>
      <c r="C9" s="9">
        <f>IS!C11/IS!C7</f>
        <v>7.9270554698635212E-2</v>
      </c>
      <c r="D9" s="9">
        <f>IS!D11/IS!D7</f>
        <v>8.3349558039017169E-2</v>
      </c>
      <c r="E9" s="10">
        <v>8.4000000000000005E-2</v>
      </c>
      <c r="F9" s="10">
        <v>8.4000000000000005E-2</v>
      </c>
      <c r="G9" s="10">
        <v>8.3000000000000004E-2</v>
      </c>
    </row>
    <row r="10" spans="1:8" ht="15" customHeight="1" x14ac:dyDescent="0.3">
      <c r="A10" s="8" t="s">
        <v>12</v>
      </c>
      <c r="B10" s="9">
        <f>IS!B12/IS!B7</f>
        <v>0.23451081138942412</v>
      </c>
      <c r="C10" s="9">
        <f>IS!C12/IS!C7</f>
        <v>0.24048655719780543</v>
      </c>
      <c r="D10" s="9">
        <f>IS!D12/IS!D7</f>
        <v>0.23702348039406565</v>
      </c>
      <c r="E10" s="10">
        <v>0.23400000000000001</v>
      </c>
      <c r="F10" s="10">
        <v>0.23100000000000001</v>
      </c>
      <c r="G10" s="10">
        <v>0.22800000000000001</v>
      </c>
    </row>
    <row r="11" spans="1:8" ht="15" customHeight="1" x14ac:dyDescent="0.3">
      <c r="A11" s="8" t="s">
        <v>13</v>
      </c>
      <c r="B11" s="11">
        <f>IS!B17</f>
        <v>-181</v>
      </c>
      <c r="C11" s="11">
        <f>IS!C17</f>
        <v>-280</v>
      </c>
      <c r="D11" s="11">
        <f>IS!D17</f>
        <v>62</v>
      </c>
      <c r="E11" s="12">
        <v>50</v>
      </c>
      <c r="F11" s="12">
        <v>50</v>
      </c>
      <c r="G11" s="12">
        <v>50</v>
      </c>
    </row>
    <row r="12" spans="1:8" ht="15" customHeight="1" x14ac:dyDescent="0.3">
      <c r="A12" s="8" t="s">
        <v>14</v>
      </c>
      <c r="B12" s="9">
        <f>IS!B20/IS!B19</f>
        <v>9.0963764847391368E-2</v>
      </c>
      <c r="C12" s="9">
        <f>IS!C20/IS!C19</f>
        <v>0.18252176717188004</v>
      </c>
      <c r="D12" s="9">
        <f>IS!D20/IS!D19</f>
        <v>0.13531553398058252</v>
      </c>
      <c r="E12" s="10">
        <v>0.16</v>
      </c>
      <c r="F12" s="10">
        <v>0.17</v>
      </c>
      <c r="G12" s="10">
        <v>0.17499999999999999</v>
      </c>
    </row>
    <row r="14" spans="1:8" ht="15" customHeight="1" x14ac:dyDescent="0.3">
      <c r="A14" s="6" t="s">
        <v>15</v>
      </c>
      <c r="B14" s="7"/>
      <c r="C14" s="7"/>
      <c r="D14" s="7"/>
      <c r="E14" s="7"/>
      <c r="F14" s="7"/>
      <c r="G14" s="7"/>
    </row>
    <row r="15" spans="1:8" ht="15" customHeight="1" x14ac:dyDescent="0.3">
      <c r="A15" s="8" t="s">
        <v>16</v>
      </c>
      <c r="B15" s="13"/>
      <c r="C15" s="13"/>
      <c r="D15" s="13">
        <f>BS!D9/IS!D7*365</f>
        <v>31.644893111638954</v>
      </c>
      <c r="E15" s="14">
        <v>31.5</v>
      </c>
      <c r="F15" s="14">
        <v>31.5</v>
      </c>
      <c r="G15" s="14">
        <v>31.5</v>
      </c>
    </row>
    <row r="16" spans="1:8" ht="15" customHeight="1" x14ac:dyDescent="0.3">
      <c r="A16" s="8" t="s">
        <v>17</v>
      </c>
      <c r="B16" s="13"/>
      <c r="C16" s="13"/>
      <c r="D16" s="13">
        <f>BS!D10/IS!D8*365</f>
        <v>96.555680698296499</v>
      </c>
      <c r="E16" s="14">
        <v>96</v>
      </c>
      <c r="F16" s="14">
        <v>94</v>
      </c>
      <c r="G16" s="14">
        <v>92</v>
      </c>
    </row>
    <row r="17" spans="1:7" ht="15" customHeight="1" x14ac:dyDescent="0.3">
      <c r="A17" s="8" t="s">
        <v>18</v>
      </c>
      <c r="B17" s="13"/>
      <c r="C17" s="13"/>
      <c r="D17" s="13">
        <f>BS!D28/IS!D8*365</f>
        <v>34.274954244685347</v>
      </c>
      <c r="E17" s="14">
        <v>34.299999999999997</v>
      </c>
      <c r="F17" s="14">
        <v>34.299999999999997</v>
      </c>
      <c r="G17" s="14">
        <v>34.299999999999997</v>
      </c>
    </row>
    <row r="18" spans="1:7" ht="15" customHeight="1" x14ac:dyDescent="0.3">
      <c r="A18" s="8" t="s">
        <v>19</v>
      </c>
      <c r="B18" s="9"/>
      <c r="C18" s="9"/>
      <c r="D18" s="9">
        <f>BS!D11/IS!D7</f>
        <v>3.5940968030839918E-2</v>
      </c>
      <c r="E18" s="10">
        <v>3.5999999999999997E-2</v>
      </c>
      <c r="F18" s="10">
        <v>3.5999999999999997E-2</v>
      </c>
      <c r="G18" s="10">
        <v>3.5999999999999997E-2</v>
      </c>
    </row>
    <row r="19" spans="1:7" ht="15" customHeight="1" x14ac:dyDescent="0.3">
      <c r="A19" s="8" t="s">
        <v>20</v>
      </c>
      <c r="B19" s="9"/>
      <c r="C19" s="9"/>
      <c r="D19" s="9">
        <f>BS!D29/IS!D7</f>
        <v>0.10938047583816829</v>
      </c>
      <c r="E19" s="10">
        <v>0.109</v>
      </c>
      <c r="F19" s="10">
        <v>0.109</v>
      </c>
      <c r="G19" s="10">
        <v>0.109</v>
      </c>
    </row>
    <row r="20" spans="1:7" ht="15" customHeight="1" x14ac:dyDescent="0.3">
      <c r="A20" s="8" t="s">
        <v>21</v>
      </c>
      <c r="B20" s="9"/>
      <c r="C20" s="9"/>
      <c r="D20" s="9">
        <f>BS!D30/IS!D20</f>
        <v>0.32623318385650224</v>
      </c>
      <c r="E20" s="10">
        <v>0.32600000000000001</v>
      </c>
      <c r="F20" s="10">
        <v>0.32600000000000001</v>
      </c>
      <c r="G20" s="10">
        <v>0.32600000000000001</v>
      </c>
    </row>
    <row r="22" spans="1:7" ht="15" customHeight="1" x14ac:dyDescent="0.3">
      <c r="A22" s="6" t="s">
        <v>22</v>
      </c>
      <c r="B22" s="7"/>
      <c r="C22" s="7"/>
      <c r="D22" s="7"/>
      <c r="E22" s="7"/>
      <c r="F22" s="7"/>
      <c r="G22" s="7"/>
    </row>
    <row r="23" spans="1:7" ht="15" customHeight="1" x14ac:dyDescent="0.3">
      <c r="A23" s="8" t="s">
        <v>23</v>
      </c>
      <c r="B23" s="9">
        <f>-CF!B15/IS!B7</f>
        <v>1.6206379790194819E-2</v>
      </c>
      <c r="C23" s="9">
        <f>-CF!C15/IS!C7</f>
        <v>1.8392330671456743E-2</v>
      </c>
      <c r="D23" s="9">
        <f>-CF!D15/IS!D7</f>
        <v>1.8457225185935126E-2</v>
      </c>
      <c r="E23" s="10">
        <v>1.9E-2</v>
      </c>
      <c r="F23" s="10">
        <v>1.9E-2</v>
      </c>
      <c r="G23" s="10">
        <v>1.9E-2</v>
      </c>
    </row>
    <row r="24" spans="1:7" ht="15" customHeight="1" x14ac:dyDescent="0.3">
      <c r="A24" s="8" t="s">
        <v>24</v>
      </c>
      <c r="B24" s="9"/>
      <c r="C24" s="9"/>
      <c r="D24" s="9">
        <v>1.55E-2</v>
      </c>
      <c r="E24" s="10">
        <v>1.55E-2</v>
      </c>
      <c r="F24" s="10">
        <v>1.55E-2</v>
      </c>
      <c r="G24" s="10">
        <v>1.55E-2</v>
      </c>
    </row>
    <row r="25" spans="1:7" ht="15" customHeight="1" x14ac:dyDescent="0.3">
      <c r="A25" s="8" t="s">
        <v>25</v>
      </c>
      <c r="B25" s="11"/>
      <c r="C25" s="11"/>
      <c r="D25" s="11">
        <v>783</v>
      </c>
      <c r="E25" s="12">
        <v>800</v>
      </c>
      <c r="F25" s="12">
        <v>840</v>
      </c>
      <c r="G25" s="12">
        <v>880</v>
      </c>
    </row>
    <row r="26" spans="1:7" ht="15" customHeight="1" x14ac:dyDescent="0.3">
      <c r="A26" s="8" t="s">
        <v>26</v>
      </c>
      <c r="B26" s="11">
        <f>-CF!B22</f>
        <v>4034</v>
      </c>
      <c r="C26" s="11">
        <f>-CF!C22</f>
        <v>4756</v>
      </c>
      <c r="D26" s="11">
        <f>-CF!D22</f>
        <v>4260</v>
      </c>
      <c r="E26" s="12">
        <v>4400</v>
      </c>
      <c r="F26" s="12">
        <v>4600</v>
      </c>
      <c r="G26" s="12">
        <v>4800</v>
      </c>
    </row>
    <row r="27" spans="1:7" ht="15" customHeight="1" x14ac:dyDescent="0.3">
      <c r="A27" s="8" t="s">
        <v>27</v>
      </c>
      <c r="B27" s="9"/>
      <c r="C27" s="9">
        <f>-CF!C23/-CF!B23-1</f>
        <v>9.3766937669376604E-2</v>
      </c>
      <c r="D27" s="9">
        <f>-CF!D23/-CF!C23-1</f>
        <v>0.10455896927651143</v>
      </c>
      <c r="E27" s="10">
        <v>0.08</v>
      </c>
      <c r="F27" s="10">
        <v>7.4999999999999997E-2</v>
      </c>
      <c r="G27" s="10">
        <v>7.0000000000000007E-2</v>
      </c>
    </row>
    <row r="28" spans="1:7" ht="15" customHeight="1" x14ac:dyDescent="0.3">
      <c r="A28" s="8" t="s">
        <v>28</v>
      </c>
      <c r="E28" s="12">
        <v>1000</v>
      </c>
      <c r="F28" s="12">
        <v>0</v>
      </c>
      <c r="G28" s="12">
        <v>500</v>
      </c>
    </row>
    <row r="29" spans="1:7" ht="15" customHeight="1" x14ac:dyDescent="0.3">
      <c r="A29" s="8" t="s">
        <v>29</v>
      </c>
      <c r="B29" s="11">
        <f>-CF!B16</f>
        <v>-1846</v>
      </c>
      <c r="C29" s="11">
        <f>-CF!C16</f>
        <v>858</v>
      </c>
      <c r="D29" s="11">
        <f>-CF!D16</f>
        <v>728</v>
      </c>
      <c r="E29" s="12">
        <v>0</v>
      </c>
      <c r="F29" s="12">
        <v>0</v>
      </c>
      <c r="G29" s="12">
        <v>0</v>
      </c>
    </row>
    <row r="30" spans="1:7" ht="15" customHeight="1" x14ac:dyDescent="0.3">
      <c r="A30" s="8" t="s">
        <v>30</v>
      </c>
      <c r="E30" s="10">
        <v>3.7999999999999999E-2</v>
      </c>
      <c r="F30" s="10">
        <v>3.5999999999999997E-2</v>
      </c>
      <c r="G30" s="10">
        <v>3.5000000000000003E-2</v>
      </c>
    </row>
    <row r="31" spans="1:7" ht="15" customHeight="1" x14ac:dyDescent="0.3">
      <c r="A31" s="8" t="s">
        <v>31</v>
      </c>
      <c r="E31" s="10">
        <v>2.8000000000000001E-2</v>
      </c>
      <c r="F31" s="10">
        <v>2.8000000000000001E-2</v>
      </c>
      <c r="G31" s="10">
        <v>2.8000000000000001E-2</v>
      </c>
    </row>
    <row r="32" spans="1:7" ht="15" customHeight="1" x14ac:dyDescent="0.3">
      <c r="A32" s="8" t="s">
        <v>32</v>
      </c>
      <c r="B32" s="9"/>
      <c r="C32" s="9">
        <f>IS!C23/IS!B23-1</f>
        <v>-2.6317422878778363E-2</v>
      </c>
      <c r="D32" s="9">
        <f>IS!D23/IS!C23-1</f>
        <v>-2.6136291196532158E-2</v>
      </c>
      <c r="E32" s="10">
        <v>-2.5000000000000001E-2</v>
      </c>
      <c r="F32" s="10">
        <v>-2.5000000000000001E-2</v>
      </c>
      <c r="G32" s="10">
        <v>-2.5000000000000001E-2</v>
      </c>
    </row>
    <row r="35" spans="1:1" ht="15" customHeight="1" x14ac:dyDescent="0.3">
      <c r="A35" s="4" t="s">
        <v>33</v>
      </c>
    </row>
    <row r="36" spans="1:1" ht="15" customHeight="1" x14ac:dyDescent="0.3">
      <c r="A36" s="15"/>
    </row>
    <row r="37" spans="1:1" ht="15" customHeight="1" x14ac:dyDescent="0.3">
      <c r="A37" s="15"/>
    </row>
    <row r="38" spans="1:1" ht="15" customHeight="1" x14ac:dyDescent="0.3">
      <c r="A38" s="15"/>
    </row>
    <row r="39" spans="1:1" ht="15" customHeight="1" x14ac:dyDescent="0.3">
      <c r="A39" s="15"/>
    </row>
    <row r="40" spans="1:1" ht="15" customHeight="1" x14ac:dyDescent="0.3">
      <c r="A40" s="15"/>
    </row>
    <row r="41" spans="1:1" ht="15" customHeight="1" x14ac:dyDescent="0.3">
      <c r="A41" s="15"/>
    </row>
    <row r="42" spans="1:1" ht="15" customHeight="1" x14ac:dyDescent="0.3">
      <c r="A42" s="15"/>
    </row>
    <row r="43" spans="1:1" ht="15" customHeight="1" x14ac:dyDescent="0.3">
      <c r="A43" s="15"/>
    </row>
    <row r="44" spans="1:1" ht="15" customHeight="1" x14ac:dyDescent="0.3">
      <c r="A44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zoomScaleNormal="100" workbookViewId="0"/>
  </sheetViews>
  <sheetFormatPr defaultColWidth="8.6640625" defaultRowHeight="14.4" x14ac:dyDescent="0.3"/>
  <cols>
    <col min="1" max="1" width="40" customWidth="1"/>
    <col min="2" max="8" width="15" customWidth="1"/>
  </cols>
  <sheetData>
    <row r="1" spans="1:8" ht="21.75" customHeight="1" x14ac:dyDescent="0.3">
      <c r="A1" s="1" t="s">
        <v>34</v>
      </c>
      <c r="B1" s="1"/>
      <c r="C1" s="1"/>
      <c r="D1" s="1"/>
      <c r="E1" s="1"/>
      <c r="F1" s="1"/>
      <c r="G1" s="1"/>
      <c r="H1" s="1"/>
    </row>
    <row r="2" spans="1:8" ht="15" customHeight="1" x14ac:dyDescent="0.3">
      <c r="A2" s="3"/>
    </row>
    <row r="4" spans="1:8" ht="15" customHeight="1" x14ac:dyDescent="0.3">
      <c r="A4" s="6" t="s">
        <v>35</v>
      </c>
      <c r="B4" s="6"/>
      <c r="C4" s="6"/>
      <c r="D4" s="6"/>
      <c r="E4" s="6"/>
      <c r="F4" s="6"/>
      <c r="G4" s="6"/>
      <c r="H4" s="6"/>
    </row>
    <row r="5" spans="1:8" ht="15" customHeight="1" x14ac:dyDescent="0.3">
      <c r="A5" s="16" t="s">
        <v>36</v>
      </c>
      <c r="C5" s="17" t="s">
        <v>37</v>
      </c>
      <c r="E5" s="18" t="s">
        <v>38</v>
      </c>
    </row>
    <row r="7" spans="1:8" ht="15" customHeight="1" x14ac:dyDescent="0.3">
      <c r="A7" s="6" t="s">
        <v>39</v>
      </c>
      <c r="B7" s="6"/>
      <c r="C7" s="6"/>
      <c r="D7" s="6"/>
      <c r="E7" s="6"/>
      <c r="F7" s="6"/>
      <c r="G7" s="6"/>
      <c r="H7" s="6"/>
    </row>
    <row r="8" spans="1:8" ht="15" customHeight="1" x14ac:dyDescent="0.3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</row>
    <row r="9" spans="1:8" ht="15" customHeight="1" x14ac:dyDescent="0.3">
      <c r="A9" s="16" t="s">
        <v>48</v>
      </c>
      <c r="B9" s="10">
        <v>-0.01</v>
      </c>
      <c r="C9" s="10">
        <v>0.01</v>
      </c>
      <c r="D9" s="10">
        <v>0.02</v>
      </c>
      <c r="E9" s="10">
        <v>0.43</v>
      </c>
      <c r="F9" s="10">
        <v>0.435</v>
      </c>
      <c r="G9" s="10">
        <v>0.438</v>
      </c>
      <c r="H9" s="19" t="s">
        <v>49</v>
      </c>
    </row>
    <row r="10" spans="1:8" ht="15" customHeight="1" x14ac:dyDescent="0.3">
      <c r="A10" s="16" t="s">
        <v>37</v>
      </c>
      <c r="B10" s="10">
        <v>5.0000000000000001E-3</v>
      </c>
      <c r="C10" s="10">
        <v>3.5000000000000003E-2</v>
      </c>
      <c r="D10" s="10">
        <v>4.4999999999999998E-2</v>
      </c>
      <c r="E10" s="10">
        <v>0.44500000000000001</v>
      </c>
      <c r="F10" s="10">
        <v>0.45</v>
      </c>
      <c r="G10" s="10">
        <v>0.45300000000000001</v>
      </c>
      <c r="H10" s="19" t="s">
        <v>50</v>
      </c>
    </row>
    <row r="11" spans="1:8" ht="15" customHeight="1" x14ac:dyDescent="0.3">
      <c r="A11" s="16" t="s">
        <v>51</v>
      </c>
      <c r="B11" s="10">
        <v>0.03</v>
      </c>
      <c r="C11" s="10">
        <v>0.06</v>
      </c>
      <c r="D11" s="10">
        <v>7.0000000000000007E-2</v>
      </c>
      <c r="E11" s="10">
        <v>0.45500000000000002</v>
      </c>
      <c r="F11" s="10">
        <v>0.46</v>
      </c>
      <c r="G11" s="10">
        <v>0.46500000000000002</v>
      </c>
      <c r="H11" s="19" t="s">
        <v>52</v>
      </c>
    </row>
    <row r="13" spans="1:8" ht="15" customHeight="1" x14ac:dyDescent="0.3">
      <c r="A13" s="6" t="s">
        <v>53</v>
      </c>
      <c r="B13" s="6"/>
      <c r="C13" s="6"/>
      <c r="D13" s="6"/>
      <c r="E13" s="6"/>
      <c r="F13" s="6"/>
      <c r="G13" s="6"/>
      <c r="H13" s="6"/>
    </row>
    <row r="14" spans="1:8" ht="15" customHeight="1" x14ac:dyDescent="0.3">
      <c r="A14" s="4" t="s">
        <v>40</v>
      </c>
      <c r="B14" s="4" t="s">
        <v>41</v>
      </c>
      <c r="C14" s="4" t="s">
        <v>42</v>
      </c>
      <c r="D14" s="4" t="s">
        <v>43</v>
      </c>
      <c r="E14" s="4" t="s">
        <v>44</v>
      </c>
      <c r="F14" s="4" t="s">
        <v>45</v>
      </c>
      <c r="G14" s="4" t="s">
        <v>46</v>
      </c>
      <c r="H14" s="4" t="s">
        <v>47</v>
      </c>
    </row>
    <row r="15" spans="1:8" ht="15" customHeight="1" x14ac:dyDescent="0.3">
      <c r="A15" s="20" t="str">
        <f>$C$5</f>
        <v>Base</v>
      </c>
      <c r="B15" s="9">
        <f t="shared" ref="B15:G15" si="0">INDEX(B$9:B$11,MATCH($C$5,$A$9:$A$11,0))</f>
        <v>5.0000000000000001E-3</v>
      </c>
      <c r="C15" s="9">
        <f t="shared" si="0"/>
        <v>3.5000000000000003E-2</v>
      </c>
      <c r="D15" s="9">
        <f t="shared" si="0"/>
        <v>4.4999999999999998E-2</v>
      </c>
      <c r="E15" s="9">
        <f t="shared" si="0"/>
        <v>0.44500000000000001</v>
      </c>
      <c r="F15" s="9">
        <f t="shared" si="0"/>
        <v>0.45</v>
      </c>
      <c r="G15" s="9">
        <f t="shared" si="0"/>
        <v>0.45300000000000001</v>
      </c>
      <c r="H15" s="20" t="str">
        <f>INDEX($H$9:$H$11,MATCH($C$5,$A$9:$A$11,0))</f>
        <v>Median</v>
      </c>
    </row>
    <row r="17" spans="1:7" ht="15" customHeight="1" x14ac:dyDescent="0.3">
      <c r="A17" s="6" t="s">
        <v>54</v>
      </c>
      <c r="B17" s="6"/>
      <c r="C17" s="6"/>
      <c r="D17" s="6"/>
      <c r="E17" s="6"/>
      <c r="F17" s="6"/>
      <c r="G17" s="6"/>
    </row>
    <row r="18" spans="1:7" ht="15" customHeight="1" x14ac:dyDescent="0.3">
      <c r="A18" s="4" t="s">
        <v>55</v>
      </c>
      <c r="B18" s="4" t="s">
        <v>56</v>
      </c>
      <c r="C18" s="4" t="s">
        <v>57</v>
      </c>
      <c r="D18" s="4" t="s">
        <v>58</v>
      </c>
    </row>
    <row r="19" spans="1:7" ht="15" customHeight="1" x14ac:dyDescent="0.3">
      <c r="A19" s="16" t="s">
        <v>49</v>
      </c>
      <c r="B19" s="21">
        <f>Comps!G30</f>
        <v>19.441800263499548</v>
      </c>
      <c r="C19" s="21">
        <f>Comps!G31</f>
        <v>26.922084220099599</v>
      </c>
      <c r="D19" s="21">
        <f>Precedents!G24</f>
        <v>36.197567512527904</v>
      </c>
    </row>
    <row r="20" spans="1:7" ht="15" customHeight="1" x14ac:dyDescent="0.3">
      <c r="A20" s="16" t="s">
        <v>50</v>
      </c>
      <c r="B20" s="21">
        <f>Comps!G28</f>
        <v>41.623602816026057</v>
      </c>
      <c r="C20" s="21">
        <f>Comps!G29</f>
        <v>51.113608080262928</v>
      </c>
      <c r="D20" s="21">
        <f>Precedents!G23</f>
        <v>56.833508770494355</v>
      </c>
    </row>
    <row r="21" spans="1:7" ht="15" customHeight="1" x14ac:dyDescent="0.3">
      <c r="A21" s="16" t="s">
        <v>52</v>
      </c>
      <c r="B21" s="21">
        <f>Comps!G32</f>
        <v>179.19626156203518</v>
      </c>
      <c r="C21" s="21">
        <f>Comps!G33</f>
        <v>139.78344997007267</v>
      </c>
      <c r="D21" s="21">
        <f>Precedents!G25</f>
        <v>76.300719627544666</v>
      </c>
    </row>
    <row r="23" spans="1:7" ht="15" customHeight="1" x14ac:dyDescent="0.3">
      <c r="A23" s="6" t="s">
        <v>59</v>
      </c>
      <c r="B23" s="6"/>
      <c r="C23" s="6"/>
      <c r="D23" s="6"/>
      <c r="E23" s="6"/>
      <c r="F23" s="6"/>
      <c r="G23" s="6"/>
    </row>
    <row r="24" spans="1:7" ht="15" customHeight="1" x14ac:dyDescent="0.3">
      <c r="A24" s="4" t="s">
        <v>60</v>
      </c>
      <c r="B24" s="4" t="s">
        <v>61</v>
      </c>
      <c r="C24" s="4" t="s">
        <v>62</v>
      </c>
    </row>
    <row r="25" spans="1:7" ht="15" customHeight="1" x14ac:dyDescent="0.3">
      <c r="A25" s="16" t="s">
        <v>63</v>
      </c>
      <c r="B25" s="21">
        <f>DCF!C37</f>
        <v>62.048818748142743</v>
      </c>
      <c r="C25" s="18" t="s">
        <v>64</v>
      </c>
    </row>
    <row r="26" spans="1:7" ht="15" customHeight="1" x14ac:dyDescent="0.3">
      <c r="A26" s="16" t="s">
        <v>65</v>
      </c>
      <c r="B26" s="21">
        <f>INDEX($B$19:$B$21,MATCH('Live Valuation Engine'!H15,$A$19:$A$21,0))</f>
        <v>41.623602816026057</v>
      </c>
      <c r="C26" s="18" t="s">
        <v>66</v>
      </c>
    </row>
    <row r="27" spans="1:7" ht="15" customHeight="1" x14ac:dyDescent="0.3">
      <c r="A27" s="16" t="s">
        <v>67</v>
      </c>
      <c r="B27" s="21">
        <f>INDEX($C$19:$C$21,MATCH('Live Valuation Engine'!H15,$A$19:$A$21,0))</f>
        <v>51.113608080262928</v>
      </c>
      <c r="C27" s="18" t="s">
        <v>66</v>
      </c>
    </row>
    <row r="28" spans="1:7" ht="15" customHeight="1" x14ac:dyDescent="0.3">
      <c r="A28" s="16" t="s">
        <v>68</v>
      </c>
      <c r="B28" s="21">
        <f>INDEX($D$19:$D$21,MATCH('Live Valuation Engine'!H15,$A$19:$A$21,0))</f>
        <v>56.833508770494355</v>
      </c>
      <c r="C28" s="18" t="s">
        <v>69</v>
      </c>
    </row>
    <row r="29" spans="1:7" ht="15" customHeight="1" x14ac:dyDescent="0.3">
      <c r="A29" s="16" t="s">
        <v>70</v>
      </c>
      <c r="B29" s="21">
        <f>Precedents!G26</f>
        <v>43.987812106798167</v>
      </c>
      <c r="C29" s="18" t="s">
        <v>71</v>
      </c>
    </row>
    <row r="30" spans="1:7" ht="15" customHeight="1" x14ac:dyDescent="0.3">
      <c r="A30" s="16" t="s">
        <v>72</v>
      </c>
      <c r="B30" s="21">
        <f>'Football Field'!C10</f>
        <v>45.339762060613992</v>
      </c>
      <c r="C30" s="18" t="s">
        <v>73</v>
      </c>
    </row>
    <row r="32" spans="1:7" ht="15" customHeight="1" x14ac:dyDescent="0.3">
      <c r="A32" s="4" t="s">
        <v>74</v>
      </c>
    </row>
    <row r="33" spans="1:7" ht="15" customHeight="1" x14ac:dyDescent="0.3">
      <c r="A33" s="16" t="s">
        <v>49</v>
      </c>
      <c r="B33" s="21">
        <f>MIN(B25,B26,B27,B28)</f>
        <v>41.623602816026057</v>
      </c>
    </row>
    <row r="34" spans="1:7" ht="15" customHeight="1" x14ac:dyDescent="0.3">
      <c r="A34" s="16" t="s">
        <v>75</v>
      </c>
      <c r="B34" s="21">
        <f>MEDIAN(B25,B26,B27,B28)</f>
        <v>53.973558425378641</v>
      </c>
    </row>
    <row r="35" spans="1:7" ht="15" customHeight="1" x14ac:dyDescent="0.3">
      <c r="A35" s="16" t="s">
        <v>52</v>
      </c>
      <c r="B35" s="21">
        <f>MAX(B25,B26,B27,B28)</f>
        <v>62.048818748142743</v>
      </c>
    </row>
    <row r="37" spans="1:7" ht="15" customHeight="1" x14ac:dyDescent="0.3">
      <c r="A37" s="16" t="s">
        <v>76</v>
      </c>
      <c r="B37" s="21">
        <f>WACC!C5</f>
        <v>75</v>
      </c>
    </row>
    <row r="38" spans="1:7" ht="15" customHeight="1" x14ac:dyDescent="0.3">
      <c r="A38" s="16" t="s">
        <v>77</v>
      </c>
      <c r="B38" s="9">
        <f>B34/B37-1</f>
        <v>-0.28035255432828476</v>
      </c>
    </row>
    <row r="40" spans="1:7" ht="15" customHeight="1" x14ac:dyDescent="0.3">
      <c r="A40" s="6" t="s">
        <v>33</v>
      </c>
      <c r="B40" s="7"/>
      <c r="C40" s="7"/>
      <c r="D40" s="7"/>
      <c r="E40" s="7"/>
      <c r="F40" s="7"/>
      <c r="G40" s="7"/>
    </row>
    <row r="41" spans="1:7" ht="24" customHeight="1" x14ac:dyDescent="0.3">
      <c r="A41" s="18"/>
    </row>
    <row r="42" spans="1:7" ht="24" customHeight="1" x14ac:dyDescent="0.3">
      <c r="A42" s="18"/>
    </row>
    <row r="43" spans="1:7" ht="24" customHeight="1" x14ac:dyDescent="0.3">
      <c r="A43" s="18"/>
    </row>
    <row r="44" spans="1:7" ht="24" customHeight="1" x14ac:dyDescent="0.3">
      <c r="A44" s="18"/>
    </row>
    <row r="45" spans="1:7" ht="24" customHeight="1" x14ac:dyDescent="0.3">
      <c r="A45" s="18"/>
    </row>
  </sheetData>
  <dataValidations count="1">
    <dataValidation type="list" error="Choose Bear, Base, or Bull." prompt="Select a scenario — the whole model recalculates." sqref="C5" xr:uid="{00000000-0002-0000-0100-000000000000}">
      <formula1>"Bear,Base,Bull"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46" customWidth="1"/>
    <col min="2" max="7" width="13" customWidth="1"/>
    <col min="8" max="8" width="3" customWidth="1"/>
  </cols>
  <sheetData>
    <row r="1" spans="1:8" ht="21.75" customHeight="1" x14ac:dyDescent="0.3">
      <c r="A1" s="1" t="s">
        <v>78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/>
    </row>
    <row r="5" spans="1:8" ht="15" customHeight="1" x14ac:dyDescent="0.3">
      <c r="A5" s="4" t="s">
        <v>79</v>
      </c>
    </row>
    <row r="6" spans="1:8" ht="15" customHeight="1" x14ac:dyDescent="0.3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1:8" ht="15" customHeight="1" x14ac:dyDescent="0.3">
      <c r="A7" s="4" t="s">
        <v>80</v>
      </c>
      <c r="B7" s="12">
        <v>46710</v>
      </c>
      <c r="C7" s="12">
        <v>51217</v>
      </c>
      <c r="D7" s="12">
        <v>51362</v>
      </c>
      <c r="E7" s="22">
        <f>D7*(1+Assumptions!E7)</f>
        <v>51618.81</v>
      </c>
      <c r="F7" s="22">
        <f>E7*(1+Assumptions!F7)</f>
        <v>53425.468349999996</v>
      </c>
      <c r="G7" s="22">
        <f>F7*(1+Assumptions!G7)</f>
        <v>55829.614425749991</v>
      </c>
    </row>
    <row r="8" spans="1:8" ht="15" customHeight="1" x14ac:dyDescent="0.3">
      <c r="A8" s="8" t="s">
        <v>81</v>
      </c>
      <c r="B8" s="12">
        <v>25231</v>
      </c>
      <c r="C8" s="12">
        <v>28925</v>
      </c>
      <c r="D8" s="12">
        <v>28412</v>
      </c>
      <c r="E8" s="22">
        <f>E7*(1-Assumptions!E8)</f>
        <v>28648.439549999996</v>
      </c>
      <c r="F8" s="22">
        <f>F7*(1-Assumptions!F8)</f>
        <v>29384.007592499998</v>
      </c>
      <c r="G8" s="22">
        <f>G7*(1-Assumptions!G8)</f>
        <v>30538.799090885241</v>
      </c>
    </row>
    <row r="9" spans="1:8" ht="15" customHeight="1" x14ac:dyDescent="0.3">
      <c r="A9" s="4" t="s">
        <v>82</v>
      </c>
      <c r="B9" s="23">
        <f t="shared" ref="B9:G9" si="0">B7-B8</f>
        <v>21479</v>
      </c>
      <c r="C9" s="23">
        <f t="shared" si="0"/>
        <v>22292</v>
      </c>
      <c r="D9" s="23">
        <f t="shared" si="0"/>
        <v>22950</v>
      </c>
      <c r="E9" s="23">
        <f t="shared" si="0"/>
        <v>22970.370450000002</v>
      </c>
      <c r="F9" s="23">
        <f t="shared" si="0"/>
        <v>24041.460757499997</v>
      </c>
      <c r="G9" s="23">
        <f t="shared" si="0"/>
        <v>25290.81533486475</v>
      </c>
    </row>
    <row r="10" spans="1:8" ht="15" customHeight="1" x14ac:dyDescent="0.3">
      <c r="A10" s="3" t="s">
        <v>83</v>
      </c>
      <c r="B10" s="24">
        <f t="shared" ref="B10:G10" si="1">B9/B7</f>
        <v>0.45983729394134021</v>
      </c>
      <c r="C10" s="24">
        <f t="shared" si="1"/>
        <v>0.43524610969014194</v>
      </c>
      <c r="D10" s="24">
        <f t="shared" si="1"/>
        <v>0.44682839453292317</v>
      </c>
      <c r="E10" s="24">
        <f t="shared" si="1"/>
        <v>0.44500000000000006</v>
      </c>
      <c r="F10" s="24">
        <f t="shared" si="1"/>
        <v>0.45</v>
      </c>
      <c r="G10" s="24">
        <f t="shared" si="1"/>
        <v>0.45300000000000007</v>
      </c>
    </row>
    <row r="11" spans="1:8" ht="15" customHeight="1" x14ac:dyDescent="0.3">
      <c r="A11" s="8" t="s">
        <v>84</v>
      </c>
      <c r="B11" s="12">
        <v>3850</v>
      </c>
      <c r="C11" s="12">
        <v>4060</v>
      </c>
      <c r="D11" s="12">
        <v>4281</v>
      </c>
      <c r="E11" s="22">
        <f>E7*Assumptions!E9</f>
        <v>4335.9800400000004</v>
      </c>
      <c r="F11" s="22">
        <f>F7*Assumptions!F9</f>
        <v>4487.7393413999998</v>
      </c>
      <c r="G11" s="22">
        <f>G7*Assumptions!G9</f>
        <v>4633.8579973372498</v>
      </c>
    </row>
    <row r="12" spans="1:8" ht="15" customHeight="1" x14ac:dyDescent="0.3">
      <c r="A12" s="8" t="s">
        <v>85</v>
      </c>
      <c r="B12" s="12">
        <v>10954</v>
      </c>
      <c r="C12" s="12">
        <v>12317</v>
      </c>
      <c r="D12" s="12">
        <v>12174</v>
      </c>
      <c r="E12" s="22">
        <f>E7*Assumptions!E10</f>
        <v>12078.80154</v>
      </c>
      <c r="F12" s="22">
        <f>F7*Assumptions!F10</f>
        <v>12341.28318885</v>
      </c>
      <c r="G12" s="22">
        <f>G7*Assumptions!G10</f>
        <v>12729.152089070998</v>
      </c>
    </row>
    <row r="13" spans="1:8" ht="15" customHeight="1" x14ac:dyDescent="0.3">
      <c r="A13" s="4" t="s">
        <v>86</v>
      </c>
      <c r="B13" s="23">
        <f t="shared" ref="B13:G13" si="2">B11+B12</f>
        <v>14804</v>
      </c>
      <c r="C13" s="23">
        <f t="shared" si="2"/>
        <v>16377</v>
      </c>
      <c r="D13" s="23">
        <f t="shared" si="2"/>
        <v>16455</v>
      </c>
      <c r="E13" s="23">
        <f t="shared" si="2"/>
        <v>16414.781580000003</v>
      </c>
      <c r="F13" s="23">
        <f t="shared" si="2"/>
        <v>16829.02253025</v>
      </c>
      <c r="G13" s="23">
        <f t="shared" si="2"/>
        <v>17363.010086408249</v>
      </c>
    </row>
    <row r="15" spans="1:8" ht="15" customHeight="1" x14ac:dyDescent="0.3">
      <c r="A15" s="4" t="s">
        <v>87</v>
      </c>
      <c r="B15" s="23">
        <f t="shared" ref="B15:G15" si="3">B9-B13</f>
        <v>6675</v>
      </c>
      <c r="C15" s="23">
        <f t="shared" si="3"/>
        <v>5915</v>
      </c>
      <c r="D15" s="23">
        <f t="shared" si="3"/>
        <v>6495</v>
      </c>
      <c r="E15" s="23">
        <f t="shared" si="3"/>
        <v>6555.5888699999996</v>
      </c>
      <c r="F15" s="23">
        <f t="shared" si="3"/>
        <v>7212.438227249997</v>
      </c>
      <c r="G15" s="23">
        <f t="shared" si="3"/>
        <v>7927.8052484565014</v>
      </c>
    </row>
    <row r="16" spans="1:8" ht="15" customHeight="1" x14ac:dyDescent="0.3">
      <c r="A16" s="8" t="s">
        <v>88</v>
      </c>
      <c r="B16" s="12">
        <v>205</v>
      </c>
      <c r="C16" s="12">
        <v>-7</v>
      </c>
      <c r="D16" s="12">
        <v>-159</v>
      </c>
      <c r="E16" s="22">
        <f>CF!E40</f>
        <v>-203.76799999999997</v>
      </c>
      <c r="F16" s="22">
        <f>CF!F40</f>
        <v>-140.83690161690163</v>
      </c>
      <c r="G16" s="22">
        <f>CF!G40</f>
        <v>-123.5483606784249</v>
      </c>
    </row>
    <row r="17" spans="1:7" ht="15" customHeight="1" x14ac:dyDescent="0.3">
      <c r="A17" s="8" t="s">
        <v>89</v>
      </c>
      <c r="B17" s="12">
        <v>-181</v>
      </c>
      <c r="C17" s="12">
        <v>-280</v>
      </c>
      <c r="D17" s="12">
        <v>62</v>
      </c>
      <c r="E17" s="22">
        <f>Assumptions!E11</f>
        <v>50</v>
      </c>
      <c r="F17" s="22">
        <f>Assumptions!F11</f>
        <v>50</v>
      </c>
      <c r="G17" s="22">
        <f>Assumptions!G11</f>
        <v>50</v>
      </c>
    </row>
    <row r="19" spans="1:7" ht="15" customHeight="1" x14ac:dyDescent="0.3">
      <c r="A19" s="4" t="s">
        <v>90</v>
      </c>
      <c r="B19" s="23">
        <f t="shared" ref="B19:G19" si="4">B15-B16-B17</f>
        <v>6651</v>
      </c>
      <c r="C19" s="23">
        <f t="shared" si="4"/>
        <v>6202</v>
      </c>
      <c r="D19" s="23">
        <f t="shared" si="4"/>
        <v>6592</v>
      </c>
      <c r="E19" s="23">
        <f t="shared" si="4"/>
        <v>6709.3568699999996</v>
      </c>
      <c r="F19" s="23">
        <f t="shared" si="4"/>
        <v>7303.2751288668987</v>
      </c>
      <c r="G19" s="23">
        <f t="shared" si="4"/>
        <v>8001.353609134926</v>
      </c>
    </row>
    <row r="20" spans="1:7" ht="15" customHeight="1" x14ac:dyDescent="0.3">
      <c r="A20" s="8" t="s">
        <v>91</v>
      </c>
      <c r="B20" s="12">
        <v>605</v>
      </c>
      <c r="C20" s="12">
        <v>1132</v>
      </c>
      <c r="D20" s="12">
        <v>892</v>
      </c>
      <c r="E20" s="22">
        <f>E19*Assumptions!E12</f>
        <v>1073.4970991999999</v>
      </c>
      <c r="F20" s="22">
        <f>F19*Assumptions!F12</f>
        <v>1241.5567719073729</v>
      </c>
      <c r="G20" s="22">
        <f>G19*Assumptions!G12</f>
        <v>1400.2368815986119</v>
      </c>
    </row>
    <row r="21" spans="1:7" ht="15" customHeight="1" x14ac:dyDescent="0.3">
      <c r="A21" s="4" t="s">
        <v>92</v>
      </c>
      <c r="B21" s="25">
        <f t="shared" ref="B21:G21" si="5">B19-B20</f>
        <v>6046</v>
      </c>
      <c r="C21" s="25">
        <f t="shared" si="5"/>
        <v>5070</v>
      </c>
      <c r="D21" s="25">
        <f t="shared" si="5"/>
        <v>5700</v>
      </c>
      <c r="E21" s="25">
        <f t="shared" si="5"/>
        <v>5635.8597707999998</v>
      </c>
      <c r="F21" s="25">
        <f t="shared" si="5"/>
        <v>6061.7183569595254</v>
      </c>
      <c r="G21" s="25">
        <f t="shared" si="5"/>
        <v>6601.1167275363141</v>
      </c>
    </row>
    <row r="22" spans="1:7" ht="15" customHeight="1" x14ac:dyDescent="0.3">
      <c r="A22" s="4" t="s">
        <v>93</v>
      </c>
      <c r="B22" s="26">
        <f t="shared" ref="B22:G22" si="6">B21/B23</f>
        <v>3.7527155359692137</v>
      </c>
      <c r="C22" s="26">
        <f t="shared" si="6"/>
        <v>3.2319755211321475</v>
      </c>
      <c r="D22" s="26">
        <f t="shared" si="6"/>
        <v>3.7310990377691953</v>
      </c>
      <c r="E22" s="26">
        <f t="shared" si="6"/>
        <v>3.7837068768032385</v>
      </c>
      <c r="F22" s="26">
        <f t="shared" si="6"/>
        <v>4.1739615495584959</v>
      </c>
      <c r="G22" s="26">
        <f t="shared" si="6"/>
        <v>4.6619271932339199</v>
      </c>
    </row>
    <row r="23" spans="1:7" ht="15" customHeight="1" x14ac:dyDescent="0.3">
      <c r="A23" s="8" t="s">
        <v>94</v>
      </c>
      <c r="B23" s="27">
        <v>1611.1</v>
      </c>
      <c r="C23" s="27">
        <v>1568.7</v>
      </c>
      <c r="D23" s="27">
        <v>1527.7</v>
      </c>
      <c r="E23" s="28">
        <f>D23*(1+Assumptions!E32)</f>
        <v>1489.5074999999999</v>
      </c>
      <c r="F23" s="28">
        <f>E23*(1+Assumptions!F32)</f>
        <v>1452.2698124999999</v>
      </c>
      <c r="G23" s="28">
        <f>F23*(1+Assumptions!G32)</f>
        <v>1415.9630671875</v>
      </c>
    </row>
    <row r="25" spans="1:7" ht="15" customHeight="1" x14ac:dyDescent="0.3">
      <c r="A25" s="4" t="s">
        <v>95</v>
      </c>
      <c r="B25" s="22">
        <f t="shared" ref="B25:G25" si="7">B15+B26</f>
        <v>7399.0050000000001</v>
      </c>
      <c r="C25" s="22">
        <f t="shared" si="7"/>
        <v>6708.8635000000004</v>
      </c>
      <c r="D25" s="22">
        <f t="shared" si="7"/>
        <v>7291.1109999999999</v>
      </c>
      <c r="E25" s="22">
        <f t="shared" si="7"/>
        <v>7355.6804249999996</v>
      </c>
      <c r="F25" s="22">
        <f t="shared" si="7"/>
        <v>8040.5329866749971</v>
      </c>
      <c r="G25" s="22">
        <f t="shared" si="7"/>
        <v>8793.1642720556265</v>
      </c>
    </row>
    <row r="26" spans="1:7" ht="15" customHeight="1" x14ac:dyDescent="0.3">
      <c r="A26" s="8" t="s">
        <v>96</v>
      </c>
      <c r="B26" s="22">
        <f>B7*0.0155</f>
        <v>724.005</v>
      </c>
      <c r="C26" s="22">
        <f>C7*0.0155</f>
        <v>793.86350000000004</v>
      </c>
      <c r="D26" s="22">
        <f>D7*0.0155</f>
        <v>796.11099999999999</v>
      </c>
      <c r="E26" s="22">
        <f>E7*Assumptions!E24</f>
        <v>800.09155499999997</v>
      </c>
      <c r="F26" s="22">
        <f>F7*Assumptions!F24</f>
        <v>828.09475942499989</v>
      </c>
      <c r="G26" s="22">
        <f>G7*Assumptions!G24</f>
        <v>865.35902359912484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46" customWidth="1"/>
    <col min="2" max="7" width="13" customWidth="1"/>
    <col min="8" max="8" width="3" customWidth="1"/>
  </cols>
  <sheetData>
    <row r="1" spans="1:8" ht="21.75" customHeight="1" x14ac:dyDescent="0.3">
      <c r="A1" s="1" t="s">
        <v>97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/>
    </row>
    <row r="5" spans="1:8" ht="15" customHeight="1" x14ac:dyDescent="0.3">
      <c r="A5" s="4" t="s">
        <v>98</v>
      </c>
    </row>
    <row r="6" spans="1:8" ht="15" customHeight="1" x14ac:dyDescent="0.3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1:8" ht="15" customHeight="1" x14ac:dyDescent="0.3">
      <c r="A7" s="8" t="s">
        <v>99</v>
      </c>
      <c r="B7" s="22"/>
      <c r="C7" s="12">
        <v>7441</v>
      </c>
      <c r="D7" s="12">
        <v>7623</v>
      </c>
      <c r="E7" s="22">
        <f>CF!E32</f>
        <v>6129.4694893583801</v>
      </c>
      <c r="F7" s="22">
        <f>CF!F32</f>
        <v>5723.7531622407105</v>
      </c>
      <c r="G7" s="22">
        <f>CF!G32</f>
        <v>4938.6539785542045</v>
      </c>
    </row>
    <row r="8" spans="1:8" ht="15" customHeight="1" x14ac:dyDescent="0.3">
      <c r="A8" s="8" t="s">
        <v>100</v>
      </c>
      <c r="B8" s="22"/>
      <c r="C8" s="12">
        <v>3234</v>
      </c>
      <c r="D8" s="12">
        <v>3959</v>
      </c>
      <c r="E8" s="22">
        <f>D8+Assumptions!E29</f>
        <v>3959</v>
      </c>
      <c r="F8" s="22">
        <f>E8+Assumptions!F29</f>
        <v>3959</v>
      </c>
      <c r="G8" s="22">
        <f>F8+Assumptions!G29</f>
        <v>3959</v>
      </c>
    </row>
    <row r="9" spans="1:8" ht="15" customHeight="1" x14ac:dyDescent="0.3">
      <c r="A9" s="8" t="s">
        <v>101</v>
      </c>
      <c r="B9" s="22"/>
      <c r="C9" s="12">
        <v>4142</v>
      </c>
      <c r="D9" s="12">
        <v>4453</v>
      </c>
      <c r="E9" s="22">
        <f>Assumptions!E15/365*IS!E7</f>
        <v>4454.7740136986304</v>
      </c>
      <c r="F9" s="22">
        <f>Assumptions!F15/365*IS!F7</f>
        <v>4610.6911041780822</v>
      </c>
      <c r="G9" s="22">
        <f>Assumptions!G15/365*IS!G7</f>
        <v>4818.1722038660955</v>
      </c>
    </row>
    <row r="10" spans="1:8" ht="15" customHeight="1" x14ac:dyDescent="0.3">
      <c r="A10" s="8" t="s">
        <v>102</v>
      </c>
      <c r="B10" s="22"/>
      <c r="C10" s="12">
        <v>8454</v>
      </c>
      <c r="D10" s="12">
        <v>7516</v>
      </c>
      <c r="E10" s="22">
        <f>Assumptions!E16/365*IS!E8</f>
        <v>7534.9320460273957</v>
      </c>
      <c r="F10" s="22">
        <f>Assumptions!F16/365*IS!F8</f>
        <v>7567.3882566986294</v>
      </c>
      <c r="G10" s="22">
        <f>Assumptions!G16/365*IS!G8</f>
        <v>7697.4507297573764</v>
      </c>
    </row>
    <row r="11" spans="1:8" ht="15" customHeight="1" x14ac:dyDescent="0.3">
      <c r="A11" s="8" t="s">
        <v>103</v>
      </c>
      <c r="B11" s="22"/>
      <c r="C11" s="12">
        <v>2019</v>
      </c>
      <c r="D11" s="12">
        <v>1846</v>
      </c>
      <c r="E11" s="22">
        <f>Assumptions!E18*IS!E7</f>
        <v>1858.2771599999999</v>
      </c>
      <c r="F11" s="22">
        <f>Assumptions!F18*IS!F7</f>
        <v>1923.3168605999997</v>
      </c>
      <c r="G11" s="22">
        <f>Assumptions!G18*IS!G7</f>
        <v>2009.8661193269995</v>
      </c>
    </row>
    <row r="12" spans="1:8" ht="15" customHeight="1" x14ac:dyDescent="0.3">
      <c r="A12" s="4" t="s">
        <v>104</v>
      </c>
      <c r="B12" s="23"/>
      <c r="C12" s="23">
        <f>SUM(C7:C11)</f>
        <v>25290</v>
      </c>
      <c r="D12" s="23">
        <f>SUM(D7:D11)</f>
        <v>25397</v>
      </c>
      <c r="E12" s="23">
        <f>SUM(E7:E11)</f>
        <v>23936.452709084409</v>
      </c>
      <c r="F12" s="23">
        <f>SUM(F7:F11)</f>
        <v>23784.149383717424</v>
      </c>
      <c r="G12" s="23">
        <f>SUM(G7:G11)</f>
        <v>23423.143031504675</v>
      </c>
    </row>
    <row r="13" spans="1:8" ht="15" customHeight="1" x14ac:dyDescent="0.3">
      <c r="B13" s="22"/>
      <c r="C13" s="22"/>
      <c r="D13" s="22"/>
      <c r="E13" s="22"/>
      <c r="F13" s="22"/>
      <c r="G13" s="22"/>
    </row>
    <row r="14" spans="1:8" ht="15" customHeight="1" x14ac:dyDescent="0.3">
      <c r="A14" s="8" t="s">
        <v>105</v>
      </c>
      <c r="B14" s="22"/>
      <c r="C14" s="12">
        <v>4942</v>
      </c>
      <c r="D14" s="12">
        <v>4874</v>
      </c>
      <c r="E14" s="22">
        <f>D14+CF!E15*-1-IS!E26</f>
        <v>5054.6658349999998</v>
      </c>
      <c r="F14" s="22">
        <f>E14+CF!F15*-1-IS!F26</f>
        <v>5241.6549742249999</v>
      </c>
      <c r="G14" s="22">
        <f>F14+CF!G15*-1-IS!G26</f>
        <v>5437.058624715125</v>
      </c>
    </row>
    <row r="15" spans="1:8" ht="15" customHeight="1" x14ac:dyDescent="0.3">
      <c r="A15" s="8" t="s">
        <v>106</v>
      </c>
      <c r="B15" s="22"/>
      <c r="C15" s="12">
        <v>3024</v>
      </c>
      <c r="D15" s="12">
        <v>2789</v>
      </c>
      <c r="E15" s="22">
        <f t="shared" ref="E15:G18" si="0">D15</f>
        <v>2789</v>
      </c>
      <c r="F15" s="22">
        <f t="shared" si="0"/>
        <v>2789</v>
      </c>
      <c r="G15" s="22">
        <f t="shared" si="0"/>
        <v>2789</v>
      </c>
    </row>
    <row r="16" spans="1:8" ht="15" customHeight="1" x14ac:dyDescent="0.3">
      <c r="A16" s="8" t="s">
        <v>107</v>
      </c>
      <c r="B16" s="22"/>
      <c r="C16" s="12">
        <v>277</v>
      </c>
      <c r="D16" s="12">
        <v>280</v>
      </c>
      <c r="E16" s="22">
        <f t="shared" si="0"/>
        <v>280</v>
      </c>
      <c r="F16" s="22">
        <f t="shared" si="0"/>
        <v>280</v>
      </c>
      <c r="G16" s="22">
        <f t="shared" si="0"/>
        <v>280</v>
      </c>
    </row>
    <row r="17" spans="1:7" ht="15" customHeight="1" x14ac:dyDescent="0.3">
      <c r="A17" s="8" t="s">
        <v>108</v>
      </c>
      <c r="B17" s="22"/>
      <c r="C17" s="12">
        <v>131</v>
      </c>
      <c r="D17" s="12">
        <v>131</v>
      </c>
      <c r="E17" s="22">
        <f t="shared" si="0"/>
        <v>131</v>
      </c>
      <c r="F17" s="22">
        <f t="shared" si="0"/>
        <v>131</v>
      </c>
      <c r="G17" s="22">
        <f t="shared" si="0"/>
        <v>131</v>
      </c>
    </row>
    <row r="18" spans="1:7" ht="15" customHeight="1" x14ac:dyDescent="0.3">
      <c r="A18" s="8" t="s">
        <v>109</v>
      </c>
      <c r="B18" s="22"/>
      <c r="C18" s="12">
        <v>3867</v>
      </c>
      <c r="D18" s="12">
        <v>3828</v>
      </c>
      <c r="E18" s="22">
        <f t="shared" si="0"/>
        <v>3828</v>
      </c>
      <c r="F18" s="22">
        <f t="shared" si="0"/>
        <v>3828</v>
      </c>
      <c r="G18" s="22">
        <f t="shared" si="0"/>
        <v>3828</v>
      </c>
    </row>
    <row r="19" spans="1:7" ht="15" customHeight="1" x14ac:dyDescent="0.3">
      <c r="A19" s="4" t="s">
        <v>110</v>
      </c>
      <c r="B19" s="29">
        <v>40321</v>
      </c>
      <c r="C19" s="23">
        <f>C12+SUM(C14:C18)</f>
        <v>37531</v>
      </c>
      <c r="D19" s="23">
        <f>D12+SUM(D14:D18)</f>
        <v>37299</v>
      </c>
      <c r="E19" s="23">
        <f>E12+SUM(E14:E18)</f>
        <v>36019.118544084413</v>
      </c>
      <c r="F19" s="23">
        <f>F12+SUM(F14:F18)</f>
        <v>36053.804357942427</v>
      </c>
      <c r="G19" s="23">
        <f>G12+SUM(G14:G18)</f>
        <v>35888.201656219797</v>
      </c>
    </row>
    <row r="21" spans="1:7" ht="15" customHeight="1" x14ac:dyDescent="0.3">
      <c r="A21" s="30" t="s">
        <v>111</v>
      </c>
    </row>
    <row r="22" spans="1:7" ht="15" customHeight="1" x14ac:dyDescent="0.3">
      <c r="A22" s="8" t="s">
        <v>112</v>
      </c>
      <c r="B22" s="22"/>
      <c r="C22" s="12">
        <v>0</v>
      </c>
      <c r="D22" s="12">
        <v>1000</v>
      </c>
      <c r="E22" s="22">
        <f t="shared" ref="E22:G23" si="1">D22</f>
        <v>1000</v>
      </c>
      <c r="F22" s="22">
        <f t="shared" si="1"/>
        <v>1000</v>
      </c>
      <c r="G22" s="22">
        <f t="shared" si="1"/>
        <v>1000</v>
      </c>
    </row>
    <row r="23" spans="1:7" ht="15" customHeight="1" x14ac:dyDescent="0.3">
      <c r="A23" s="8" t="s">
        <v>113</v>
      </c>
      <c r="B23" s="22"/>
      <c r="C23" s="12">
        <v>6</v>
      </c>
      <c r="D23" s="12">
        <v>10</v>
      </c>
      <c r="E23" s="22">
        <f t="shared" si="1"/>
        <v>10</v>
      </c>
      <c r="F23" s="22">
        <f t="shared" si="1"/>
        <v>10</v>
      </c>
      <c r="G23" s="22">
        <f t="shared" si="1"/>
        <v>10</v>
      </c>
    </row>
    <row r="24" spans="1:7" ht="15" customHeight="1" x14ac:dyDescent="0.3">
      <c r="B24" s="22"/>
      <c r="C24" s="22"/>
      <c r="D24" s="22"/>
      <c r="E24" s="22"/>
      <c r="F24" s="22"/>
      <c r="G24" s="22"/>
    </row>
    <row r="25" spans="1:7" ht="15" customHeight="1" x14ac:dyDescent="0.3">
      <c r="B25" s="22"/>
      <c r="C25" s="22"/>
      <c r="D25" s="22"/>
      <c r="E25" s="22"/>
      <c r="F25" s="22"/>
      <c r="G25" s="22"/>
    </row>
    <row r="26" spans="1:7" ht="15" customHeight="1" x14ac:dyDescent="0.3">
      <c r="B26" s="22"/>
      <c r="C26" s="22"/>
      <c r="D26" s="22"/>
      <c r="E26" s="22"/>
      <c r="F26" s="22"/>
      <c r="G26" s="22"/>
    </row>
    <row r="27" spans="1:7" ht="15" customHeight="1" x14ac:dyDescent="0.3">
      <c r="B27" s="22"/>
      <c r="C27" s="22"/>
      <c r="D27" s="22"/>
      <c r="E27" s="22"/>
      <c r="F27" s="22"/>
      <c r="G27" s="22"/>
    </row>
    <row r="28" spans="1:7" ht="15" customHeight="1" x14ac:dyDescent="0.3">
      <c r="A28" s="8" t="s">
        <v>114</v>
      </c>
      <c r="B28" s="22"/>
      <c r="C28" s="12">
        <v>2752</v>
      </c>
      <c r="D28" s="12">
        <v>2668</v>
      </c>
      <c r="E28" s="22">
        <f>Assumptions!E17/365*IS!E8</f>
        <v>2692.1684289452046</v>
      </c>
      <c r="F28" s="22">
        <f>Assumptions!F17/365*IS!F8</f>
        <v>2761.2916723910953</v>
      </c>
      <c r="G28" s="22">
        <f>Assumptions!G17/365*IS!G8</f>
        <v>2869.810435116065</v>
      </c>
    </row>
    <row r="29" spans="1:7" ht="15" customHeight="1" x14ac:dyDescent="0.3">
      <c r="A29" s="8" t="s">
        <v>115</v>
      </c>
      <c r="B29" s="22"/>
      <c r="C29" s="12">
        <v>5862</v>
      </c>
      <c r="D29" s="12">
        <v>5618</v>
      </c>
      <c r="E29" s="22">
        <f>Assumptions!E19*IS!E7</f>
        <v>5626.4502899999998</v>
      </c>
      <c r="F29" s="22">
        <f>Assumptions!F19*IS!F7</f>
        <v>5823.3760501499992</v>
      </c>
      <c r="G29" s="22">
        <f>Assumptions!G19*IS!G7</f>
        <v>6085.4279724067492</v>
      </c>
    </row>
    <row r="30" spans="1:7" ht="15" customHeight="1" x14ac:dyDescent="0.3">
      <c r="A30" s="8" t="s">
        <v>116</v>
      </c>
      <c r="B30" s="22"/>
      <c r="C30" s="12">
        <v>240</v>
      </c>
      <c r="D30" s="12">
        <v>291</v>
      </c>
      <c r="E30" s="22">
        <f>Assumptions!E20*IS!E20</f>
        <v>349.96005433919998</v>
      </c>
      <c r="F30" s="22">
        <f>Assumptions!F20*IS!F20</f>
        <v>404.74750764180357</v>
      </c>
      <c r="G30" s="22">
        <f>Assumptions!G20*IS!G20</f>
        <v>456.47722340114751</v>
      </c>
    </row>
    <row r="31" spans="1:7" ht="15" customHeight="1" x14ac:dyDescent="0.3">
      <c r="A31" s="8" t="s">
        <v>117</v>
      </c>
      <c r="B31" s="22"/>
      <c r="C31" s="12">
        <v>549</v>
      </c>
      <c r="D31" s="12">
        <v>520</v>
      </c>
      <c r="E31" s="22">
        <f>D31</f>
        <v>520</v>
      </c>
      <c r="F31" s="22">
        <f>E31</f>
        <v>520</v>
      </c>
      <c r="G31" s="22">
        <f>F31</f>
        <v>520</v>
      </c>
    </row>
    <row r="32" spans="1:7" ht="15" customHeight="1" x14ac:dyDescent="0.3">
      <c r="A32" s="4" t="s">
        <v>118</v>
      </c>
      <c r="B32" s="23"/>
      <c r="C32" s="23">
        <f>C22+C23+SUM(C28:C31)</f>
        <v>9409</v>
      </c>
      <c r="D32" s="23">
        <f>D22+D23+SUM(D28:D31)</f>
        <v>10107</v>
      </c>
      <c r="E32" s="23">
        <f>E22+E23+SUM(E28:E31)</f>
        <v>10198.578773284406</v>
      </c>
      <c r="F32" s="23">
        <f>F22+F23+SUM(F28:F31)</f>
        <v>10519.415230182898</v>
      </c>
      <c r="G32" s="23">
        <f>G22+G23+SUM(G28:G31)</f>
        <v>10941.715630923962</v>
      </c>
    </row>
    <row r="33" spans="1:7" ht="15" customHeight="1" x14ac:dyDescent="0.3">
      <c r="B33" s="22"/>
      <c r="C33" s="22"/>
      <c r="D33" s="22"/>
      <c r="E33" s="22"/>
      <c r="F33" s="22"/>
      <c r="G33" s="22"/>
    </row>
    <row r="34" spans="1:7" ht="15" customHeight="1" x14ac:dyDescent="0.3">
      <c r="A34" s="8" t="s">
        <v>119</v>
      </c>
      <c r="B34" s="22"/>
      <c r="C34" s="12">
        <v>8927</v>
      </c>
      <c r="D34" s="12">
        <v>7931</v>
      </c>
      <c r="E34" s="22">
        <f>D34-Assumptions!E28</f>
        <v>6931</v>
      </c>
      <c r="F34" s="22">
        <f>E34-Assumptions!F28</f>
        <v>6931</v>
      </c>
      <c r="G34" s="22">
        <f>F34-Assumptions!G28</f>
        <v>6431</v>
      </c>
    </row>
    <row r="35" spans="1:7" ht="15" customHeight="1" x14ac:dyDescent="0.3">
      <c r="A35" s="8" t="s">
        <v>120</v>
      </c>
      <c r="B35" s="22"/>
      <c r="C35" s="12">
        <v>2873</v>
      </c>
      <c r="D35" s="12">
        <v>2663</v>
      </c>
      <c r="E35" s="22">
        <f t="shared" ref="E35:G36" si="2">D35</f>
        <v>2663</v>
      </c>
      <c r="F35" s="22">
        <f t="shared" si="2"/>
        <v>2663</v>
      </c>
      <c r="G35" s="22">
        <f t="shared" si="2"/>
        <v>2663</v>
      </c>
    </row>
    <row r="36" spans="1:7" ht="15" customHeight="1" x14ac:dyDescent="0.3">
      <c r="A36" s="8" t="s">
        <v>121</v>
      </c>
      <c r="B36" s="22"/>
      <c r="C36" s="12">
        <v>2318</v>
      </c>
      <c r="D36" s="12">
        <v>2167</v>
      </c>
      <c r="E36" s="22">
        <f t="shared" si="2"/>
        <v>2167</v>
      </c>
      <c r="F36" s="22">
        <f t="shared" si="2"/>
        <v>2167</v>
      </c>
      <c r="G36" s="22">
        <f t="shared" si="2"/>
        <v>2167</v>
      </c>
    </row>
    <row r="37" spans="1:7" ht="15" customHeight="1" x14ac:dyDescent="0.3">
      <c r="A37" s="4" t="s">
        <v>122</v>
      </c>
      <c r="B37" s="29">
        <v>25040</v>
      </c>
      <c r="C37" s="23">
        <f>C32+C34+C35+C36</f>
        <v>23527</v>
      </c>
      <c r="D37" s="23">
        <f>D32+D34+D35+D36</f>
        <v>22868</v>
      </c>
      <c r="E37" s="23">
        <f>E32+E34+E35+E36</f>
        <v>21959.578773284404</v>
      </c>
      <c r="F37" s="23">
        <f>F32+F34+F35+F36</f>
        <v>22280.415230182898</v>
      </c>
      <c r="G37" s="23">
        <f>G32+G34+G35+G36</f>
        <v>22202.715630923962</v>
      </c>
    </row>
    <row r="39" spans="1:7" ht="15" customHeight="1" x14ac:dyDescent="0.3">
      <c r="A39" s="30" t="s">
        <v>123</v>
      </c>
    </row>
    <row r="40" spans="1:7" ht="15" customHeight="1" x14ac:dyDescent="0.3">
      <c r="A40" s="8" t="s">
        <v>124</v>
      </c>
      <c r="B40" s="22"/>
      <c r="C40" s="12">
        <v>3</v>
      </c>
      <c r="D40" s="12">
        <v>3</v>
      </c>
      <c r="E40" s="22">
        <f>D40</f>
        <v>3</v>
      </c>
      <c r="F40" s="22">
        <f>E40</f>
        <v>3</v>
      </c>
      <c r="G40" s="22">
        <f>F40</f>
        <v>3</v>
      </c>
    </row>
    <row r="41" spans="1:7" ht="15" customHeight="1" x14ac:dyDescent="0.3">
      <c r="A41" s="8" t="s">
        <v>125</v>
      </c>
      <c r="B41" s="22"/>
      <c r="C41" s="12">
        <v>12416</v>
      </c>
      <c r="D41" s="12">
        <v>13010</v>
      </c>
      <c r="E41" s="22">
        <f>D41+Assumptions!E25</f>
        <v>13810</v>
      </c>
      <c r="F41" s="22">
        <f>E41+Assumptions!F25</f>
        <v>14650</v>
      </c>
      <c r="G41" s="22">
        <f>F41+Assumptions!G25</f>
        <v>15530</v>
      </c>
    </row>
    <row r="42" spans="1:7" ht="15" customHeight="1" x14ac:dyDescent="0.3">
      <c r="A42" s="8" t="s">
        <v>126</v>
      </c>
      <c r="B42" s="22"/>
      <c r="C42" s="12">
        <v>-1598</v>
      </c>
      <c r="D42" s="12">
        <v>-1241</v>
      </c>
      <c r="E42" s="22">
        <f>D42</f>
        <v>-1241</v>
      </c>
      <c r="F42" s="22">
        <f>E42</f>
        <v>-1241</v>
      </c>
      <c r="G42" s="22">
        <f>F42</f>
        <v>-1241</v>
      </c>
    </row>
    <row r="43" spans="1:7" ht="15" customHeight="1" x14ac:dyDescent="0.3">
      <c r="A43" s="8" t="s">
        <v>127</v>
      </c>
      <c r="B43" s="22"/>
      <c r="C43" s="12">
        <v>3183</v>
      </c>
      <c r="D43" s="12">
        <v>2659</v>
      </c>
      <c r="E43" s="22">
        <f>D43+IS!E21-CF!E23*-1-Assumptions!E26</f>
        <v>1487.5397708</v>
      </c>
      <c r="F43" s="22">
        <f>E43+IS!F21-CF!F23*-1-Assumptions!F26</f>
        <v>361.38912775952485</v>
      </c>
      <c r="G43" s="22">
        <f>F43+IS!G21-CF!G23*-1-Assumptions!G26</f>
        <v>-606.51397470416123</v>
      </c>
    </row>
    <row r="44" spans="1:7" ht="15" customHeight="1" x14ac:dyDescent="0.3">
      <c r="A44" s="4" t="s">
        <v>128</v>
      </c>
      <c r="B44" s="29">
        <v>15281</v>
      </c>
      <c r="C44" s="23">
        <f>SUM(C40:C43)</f>
        <v>14004</v>
      </c>
      <c r="D44" s="23">
        <f>SUM(D40:D43)</f>
        <v>14431</v>
      </c>
      <c r="E44" s="23">
        <f>SUM(E40:E43)</f>
        <v>14059.5397708</v>
      </c>
      <c r="F44" s="23">
        <f>SUM(F40:F43)</f>
        <v>13773.389127759525</v>
      </c>
      <c r="G44" s="23">
        <f>SUM(G40:G43)</f>
        <v>13685.486025295839</v>
      </c>
    </row>
    <row r="45" spans="1:7" ht="15" customHeight="1" x14ac:dyDescent="0.3">
      <c r="A45" s="4" t="s">
        <v>129</v>
      </c>
      <c r="B45" s="23">
        <f t="shared" ref="B45:G45" si="3">B37+B44</f>
        <v>40321</v>
      </c>
      <c r="C45" s="23">
        <f t="shared" si="3"/>
        <v>37531</v>
      </c>
      <c r="D45" s="23">
        <f t="shared" si="3"/>
        <v>37299</v>
      </c>
      <c r="E45" s="23">
        <f t="shared" si="3"/>
        <v>36019.118544084406</v>
      </c>
      <c r="F45" s="23">
        <f t="shared" si="3"/>
        <v>36053.804357942427</v>
      </c>
      <c r="G45" s="23">
        <f t="shared" si="3"/>
        <v>35888.201656219797</v>
      </c>
    </row>
    <row r="46" spans="1:7" ht="15" customHeight="1" x14ac:dyDescent="0.3">
      <c r="B46" s="22"/>
      <c r="C46" s="22"/>
      <c r="D46" s="22"/>
      <c r="E46" s="22"/>
      <c r="F46" s="22"/>
      <c r="G46" s="22"/>
    </row>
    <row r="47" spans="1:7" ht="15" customHeight="1" x14ac:dyDescent="0.3">
      <c r="A47" s="4" t="s">
        <v>130</v>
      </c>
      <c r="B47" s="31">
        <f t="shared" ref="B47:G47" si="4">B19-B45</f>
        <v>0</v>
      </c>
      <c r="C47" s="31">
        <f t="shared" si="4"/>
        <v>0</v>
      </c>
      <c r="D47" s="31">
        <f t="shared" si="4"/>
        <v>0</v>
      </c>
      <c r="E47" s="31">
        <f t="shared" si="4"/>
        <v>0</v>
      </c>
      <c r="F47" s="31">
        <f t="shared" si="4"/>
        <v>0</v>
      </c>
      <c r="G47" s="31">
        <f t="shared" si="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46" customWidth="1"/>
    <col min="2" max="7" width="13" customWidth="1"/>
    <col min="8" max="8" width="3" customWidth="1"/>
  </cols>
  <sheetData>
    <row r="1" spans="1:8" ht="21.75" customHeight="1" x14ac:dyDescent="0.3">
      <c r="A1" s="1" t="s">
        <v>131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/>
    </row>
    <row r="5" spans="1:8" ht="15" customHeight="1" x14ac:dyDescent="0.3">
      <c r="A5" s="4" t="s">
        <v>132</v>
      </c>
    </row>
    <row r="6" spans="1:8" ht="15" customHeight="1" x14ac:dyDescent="0.3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1:8" ht="15" customHeight="1" x14ac:dyDescent="0.3">
      <c r="A7" s="30" t="s">
        <v>133</v>
      </c>
    </row>
    <row r="8" spans="1:8" ht="15" customHeight="1" x14ac:dyDescent="0.3">
      <c r="A8" s="8" t="s">
        <v>134</v>
      </c>
      <c r="B8" s="12">
        <v>6046</v>
      </c>
      <c r="C8" s="12">
        <v>5070</v>
      </c>
      <c r="D8" s="12">
        <v>5700</v>
      </c>
      <c r="E8" s="22">
        <f>IS!E21</f>
        <v>5635.8597707999998</v>
      </c>
      <c r="F8" s="22">
        <f>IS!F21</f>
        <v>6061.7183569595254</v>
      </c>
      <c r="G8" s="22">
        <f>IS!G21</f>
        <v>6601.1167275363141</v>
      </c>
    </row>
    <row r="9" spans="1:8" ht="15" customHeight="1" x14ac:dyDescent="0.3">
      <c r="A9" s="8" t="s">
        <v>135</v>
      </c>
      <c r="B9" s="22">
        <f>IS!B26</f>
        <v>724.005</v>
      </c>
      <c r="C9" s="22">
        <f>IS!C26</f>
        <v>793.86350000000004</v>
      </c>
      <c r="D9" s="22">
        <f>IS!D26</f>
        <v>796.11099999999999</v>
      </c>
      <c r="E9" s="22">
        <f>IS!E26</f>
        <v>800.09155499999997</v>
      </c>
      <c r="F9" s="22">
        <f>IS!F26</f>
        <v>828.09475942499989</v>
      </c>
      <c r="G9" s="22">
        <f>IS!G26</f>
        <v>865.35902359912484</v>
      </c>
    </row>
    <row r="10" spans="1:8" ht="15" customHeight="1" x14ac:dyDescent="0.3">
      <c r="A10" s="8" t="s">
        <v>136</v>
      </c>
      <c r="B10" s="22">
        <f>1515-B9</f>
        <v>790.995</v>
      </c>
      <c r="C10" s="22">
        <f>1732-C9</f>
        <v>938.13649999999996</v>
      </c>
      <c r="D10" s="22">
        <f>1466-D9</f>
        <v>669.88900000000001</v>
      </c>
      <c r="E10" s="22">
        <f>Assumptions!E25</f>
        <v>800</v>
      </c>
      <c r="F10" s="22">
        <f>Assumptions!F25</f>
        <v>840</v>
      </c>
      <c r="G10" s="22">
        <f>Assumptions!G25</f>
        <v>880</v>
      </c>
    </row>
    <row r="11" spans="1:8" ht="15" customHeight="1" x14ac:dyDescent="0.3">
      <c r="A11" s="8" t="s">
        <v>137</v>
      </c>
      <c r="B11" s="12">
        <v>-2363</v>
      </c>
      <c r="C11" s="12">
        <v>-961</v>
      </c>
      <c r="D11" s="12">
        <v>260</v>
      </c>
      <c r="E11" s="22">
        <f>E47</f>
        <v>58.595553558379834</v>
      </c>
      <c r="F11" s="22">
        <f>F47</f>
        <v>67.423455147805726</v>
      </c>
      <c r="G11" s="22">
        <f>G47</f>
        <v>-1.7924307326957205</v>
      </c>
    </row>
    <row r="12" spans="1:8" ht="15" customHeight="1" x14ac:dyDescent="0.3">
      <c r="A12" s="4" t="s">
        <v>133</v>
      </c>
      <c r="B12" s="23">
        <f t="shared" ref="B12:G12" si="0">SUM(B8:B11)</f>
        <v>5198</v>
      </c>
      <c r="C12" s="23">
        <f t="shared" si="0"/>
        <v>5841</v>
      </c>
      <c r="D12" s="23">
        <f t="shared" si="0"/>
        <v>7426</v>
      </c>
      <c r="E12" s="23">
        <f t="shared" si="0"/>
        <v>7294.5468793583796</v>
      </c>
      <c r="F12" s="23">
        <f t="shared" si="0"/>
        <v>7797.2365715323313</v>
      </c>
      <c r="G12" s="23">
        <f t="shared" si="0"/>
        <v>8344.6833204027444</v>
      </c>
    </row>
    <row r="13" spans="1:8" ht="15" customHeight="1" x14ac:dyDescent="0.3">
      <c r="B13" s="22"/>
      <c r="C13" s="22"/>
      <c r="D13" s="22"/>
      <c r="E13" s="22"/>
      <c r="F13" s="22"/>
      <c r="G13" s="22"/>
    </row>
    <row r="14" spans="1:8" ht="15" customHeight="1" x14ac:dyDescent="0.3">
      <c r="A14" s="30" t="s">
        <v>138</v>
      </c>
      <c r="B14" s="22"/>
      <c r="C14" s="22"/>
      <c r="D14" s="22"/>
      <c r="E14" s="22"/>
      <c r="F14" s="22"/>
      <c r="G14" s="22"/>
    </row>
    <row r="15" spans="1:8" ht="15" customHeight="1" x14ac:dyDescent="0.3">
      <c r="A15" s="8" t="s">
        <v>139</v>
      </c>
      <c r="B15" s="12">
        <v>-757</v>
      </c>
      <c r="C15" s="12">
        <v>-942</v>
      </c>
      <c r="D15" s="12">
        <v>-948</v>
      </c>
      <c r="E15" s="22">
        <f>-IS!E7*Assumptions!E23</f>
        <v>-980.75738999999999</v>
      </c>
      <c r="F15" s="22">
        <f>-IS!F7*Assumptions!F23</f>
        <v>-1015.0838986499999</v>
      </c>
      <c r="G15" s="22">
        <f>-IS!G7*Assumptions!G23</f>
        <v>-1060.7626740892499</v>
      </c>
    </row>
    <row r="16" spans="1:8" ht="15" customHeight="1" x14ac:dyDescent="0.3">
      <c r="A16" s="8" t="s">
        <v>140</v>
      </c>
      <c r="B16" s="12">
        <v>1846</v>
      </c>
      <c r="C16" s="12">
        <v>-858</v>
      </c>
      <c r="D16" s="12">
        <v>-728</v>
      </c>
      <c r="E16" s="22">
        <f>-Assumptions!E29</f>
        <v>0</v>
      </c>
      <c r="F16" s="22">
        <f>-Assumptions!F29</f>
        <v>0</v>
      </c>
      <c r="G16" s="22">
        <f>-Assumptions!G29</f>
        <v>0</v>
      </c>
    </row>
    <row r="17" spans="1:7" ht="15" customHeight="1" x14ac:dyDescent="0.3">
      <c r="A17" s="8" t="s">
        <v>141</v>
      </c>
      <c r="B17" s="12">
        <v>-384</v>
      </c>
      <c r="C17" s="12">
        <v>155</v>
      </c>
      <c r="D17" s="12">
        <v>148</v>
      </c>
      <c r="E17" s="12">
        <v>0</v>
      </c>
      <c r="F17" s="12">
        <v>0</v>
      </c>
      <c r="G17" s="12">
        <v>0</v>
      </c>
    </row>
    <row r="18" spans="1:7" ht="15" customHeight="1" x14ac:dyDescent="0.3">
      <c r="A18" s="4" t="s">
        <v>138</v>
      </c>
      <c r="B18" s="23">
        <f t="shared" ref="B18:G18" si="1">SUM(B15:B17)</f>
        <v>705</v>
      </c>
      <c r="C18" s="23">
        <f t="shared" si="1"/>
        <v>-1645</v>
      </c>
      <c r="D18" s="23">
        <f t="shared" si="1"/>
        <v>-1528</v>
      </c>
      <c r="E18" s="23">
        <f t="shared" si="1"/>
        <v>-980.75738999999999</v>
      </c>
      <c r="F18" s="23">
        <f t="shared" si="1"/>
        <v>-1015.0838986499999</v>
      </c>
      <c r="G18" s="23">
        <f t="shared" si="1"/>
        <v>-1060.7626740892499</v>
      </c>
    </row>
    <row r="19" spans="1:7" ht="15" customHeight="1" x14ac:dyDescent="0.3">
      <c r="B19" s="22"/>
      <c r="C19" s="22"/>
      <c r="D19" s="22"/>
      <c r="E19" s="22"/>
      <c r="F19" s="22"/>
      <c r="G19" s="22"/>
    </row>
    <row r="20" spans="1:7" ht="15" customHeight="1" x14ac:dyDescent="0.3">
      <c r="A20" s="30" t="s">
        <v>142</v>
      </c>
      <c r="B20" s="22"/>
      <c r="C20" s="22"/>
      <c r="D20" s="22"/>
      <c r="E20" s="22"/>
      <c r="F20" s="22"/>
      <c r="G20" s="22"/>
    </row>
    <row r="21" spans="1:7" ht="15" customHeight="1" x14ac:dyDescent="0.3">
      <c r="B21" s="22"/>
      <c r="C21" s="22"/>
      <c r="D21" s="22"/>
      <c r="E21" s="22"/>
      <c r="F21" s="22"/>
      <c r="G21" s="22"/>
    </row>
    <row r="22" spans="1:7" ht="15" customHeight="1" x14ac:dyDescent="0.3">
      <c r="A22" s="8" t="s">
        <v>143</v>
      </c>
      <c r="B22" s="12">
        <v>-4034</v>
      </c>
      <c r="C22" s="12">
        <v>-4756</v>
      </c>
      <c r="D22" s="12">
        <v>-4260</v>
      </c>
      <c r="E22" s="22">
        <f>-Assumptions!E26</f>
        <v>-4400</v>
      </c>
      <c r="F22" s="22">
        <f>-Assumptions!F26</f>
        <v>-4600</v>
      </c>
      <c r="G22" s="22">
        <f>-Assumptions!G26</f>
        <v>-4800</v>
      </c>
    </row>
    <row r="23" spans="1:7" ht="15" customHeight="1" x14ac:dyDescent="0.3">
      <c r="A23" s="8" t="s">
        <v>144</v>
      </c>
      <c r="B23" s="12">
        <v>-1845</v>
      </c>
      <c r="C23" s="12">
        <v>-2018</v>
      </c>
      <c r="D23" s="12">
        <v>-2229</v>
      </c>
      <c r="E23" s="22">
        <f>D23*(1+Assumptions!E27)</f>
        <v>-2407.3200000000002</v>
      </c>
      <c r="F23" s="22">
        <f>E23*(1+Assumptions!F27)</f>
        <v>-2587.8690000000001</v>
      </c>
      <c r="G23" s="22">
        <f>F23*(1+Assumptions!G27)</f>
        <v>-2769.0198300000002</v>
      </c>
    </row>
    <row r="24" spans="1:7" ht="15" customHeight="1" x14ac:dyDescent="0.3">
      <c r="A24" s="8" t="s">
        <v>145</v>
      </c>
      <c r="B24" s="12">
        <v>-2254</v>
      </c>
      <c r="C24" s="12">
        <v>2246</v>
      </c>
      <c r="D24" s="12">
        <v>774</v>
      </c>
      <c r="E24" s="22">
        <f>-Assumptions!E28</f>
        <v>-1000</v>
      </c>
      <c r="F24" s="22">
        <f>-Assumptions!F28</f>
        <v>0</v>
      </c>
      <c r="G24" s="22">
        <f>-Assumptions!G28</f>
        <v>-500</v>
      </c>
    </row>
    <row r="25" spans="1:7" ht="15" customHeight="1" x14ac:dyDescent="0.3">
      <c r="A25" s="4" t="s">
        <v>142</v>
      </c>
      <c r="B25" s="23">
        <f t="shared" ref="B25:G25" si="2">SUM(B22:B24)</f>
        <v>-8133</v>
      </c>
      <c r="C25" s="23">
        <f t="shared" si="2"/>
        <v>-4528</v>
      </c>
      <c r="D25" s="23">
        <f t="shared" si="2"/>
        <v>-5715</v>
      </c>
      <c r="E25" s="23">
        <f t="shared" si="2"/>
        <v>-7807.32</v>
      </c>
      <c r="F25" s="23">
        <f t="shared" si="2"/>
        <v>-7187.8690000000006</v>
      </c>
      <c r="G25" s="23">
        <f t="shared" si="2"/>
        <v>-8069.0198300000002</v>
      </c>
    </row>
    <row r="26" spans="1:7" ht="15" customHeight="1" x14ac:dyDescent="0.3">
      <c r="B26" s="22"/>
      <c r="C26" s="22"/>
      <c r="D26" s="22"/>
      <c r="E26" s="22"/>
      <c r="F26" s="22"/>
      <c r="G26" s="22"/>
    </row>
    <row r="27" spans="1:7" ht="15" customHeight="1" x14ac:dyDescent="0.3">
      <c r="A27" s="8" t="s">
        <v>146</v>
      </c>
      <c r="B27" s="12">
        <v>-125</v>
      </c>
      <c r="C27" s="12">
        <v>-74</v>
      </c>
      <c r="D27" s="12">
        <v>-1</v>
      </c>
      <c r="E27" s="12">
        <v>0</v>
      </c>
      <c r="F27" s="12">
        <v>0</v>
      </c>
      <c r="G27" s="12">
        <v>0</v>
      </c>
    </row>
    <row r="28" spans="1:7" ht="15" customHeight="1" x14ac:dyDescent="0.3">
      <c r="B28" s="22"/>
      <c r="C28" s="22"/>
      <c r="D28" s="22"/>
      <c r="E28" s="22"/>
      <c r="F28" s="22"/>
      <c r="G28" s="22"/>
    </row>
    <row r="29" spans="1:7" ht="15" customHeight="1" x14ac:dyDescent="0.3">
      <c r="A29" s="4" t="s">
        <v>147</v>
      </c>
      <c r="B29" s="23">
        <f t="shared" ref="B29:G29" si="3">B12+B18+B25+B27</f>
        <v>-2355</v>
      </c>
      <c r="C29" s="23">
        <f t="shared" si="3"/>
        <v>-406</v>
      </c>
      <c r="D29" s="23">
        <f t="shared" si="3"/>
        <v>182</v>
      </c>
      <c r="E29" s="23">
        <f t="shared" si="3"/>
        <v>-1493.5305106416199</v>
      </c>
      <c r="F29" s="23">
        <f t="shared" si="3"/>
        <v>-405.71632711766961</v>
      </c>
      <c r="G29" s="23">
        <f t="shared" si="3"/>
        <v>-785.09918368650597</v>
      </c>
    </row>
    <row r="30" spans="1:7" ht="15" customHeight="1" x14ac:dyDescent="0.3">
      <c r="B30" s="22"/>
      <c r="C30" s="22"/>
      <c r="D30" s="22"/>
      <c r="E30" s="22"/>
      <c r="F30" s="22"/>
      <c r="G30" s="22"/>
    </row>
    <row r="31" spans="1:7" ht="15" customHeight="1" x14ac:dyDescent="0.3">
      <c r="A31" s="8" t="s">
        <v>148</v>
      </c>
      <c r="B31" s="12">
        <v>10202</v>
      </c>
      <c r="C31" s="12">
        <v>7847</v>
      </c>
      <c r="D31" s="12">
        <v>7441</v>
      </c>
      <c r="E31" s="22">
        <f>BS!D7</f>
        <v>7623</v>
      </c>
      <c r="F31" s="22">
        <f>BS!E7</f>
        <v>6129.4694893583801</v>
      </c>
      <c r="G31" s="22">
        <f>BS!F7</f>
        <v>5723.7531622407105</v>
      </c>
    </row>
    <row r="32" spans="1:7" ht="15" customHeight="1" x14ac:dyDescent="0.3">
      <c r="A32" s="4" t="s">
        <v>149</v>
      </c>
      <c r="B32" s="23">
        <f t="shared" ref="B32:G32" si="4">B31+B29</f>
        <v>7847</v>
      </c>
      <c r="C32" s="23">
        <f t="shared" si="4"/>
        <v>7441</v>
      </c>
      <c r="D32" s="23">
        <f t="shared" si="4"/>
        <v>7623</v>
      </c>
      <c r="E32" s="23">
        <f t="shared" si="4"/>
        <v>6129.4694893583801</v>
      </c>
      <c r="F32" s="23">
        <f t="shared" si="4"/>
        <v>5723.7531622407105</v>
      </c>
      <c r="G32" s="23">
        <f t="shared" si="4"/>
        <v>4938.6539785542045</v>
      </c>
    </row>
    <row r="35" spans="1:7" ht="15" customHeight="1" x14ac:dyDescent="0.3">
      <c r="A35" s="4" t="s">
        <v>150</v>
      </c>
    </row>
    <row r="36" spans="1:7" ht="15" customHeight="1" x14ac:dyDescent="0.3"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</row>
    <row r="37" spans="1:7" ht="15" customHeight="1" x14ac:dyDescent="0.3">
      <c r="A37" s="8" t="s">
        <v>151</v>
      </c>
      <c r="B37" s="22"/>
      <c r="C37" s="22"/>
      <c r="D37" s="22">
        <f>C39</f>
        <v>8933</v>
      </c>
      <c r="E37" s="22">
        <f>D39</f>
        <v>8941</v>
      </c>
      <c r="F37" s="22">
        <f>E39</f>
        <v>7941</v>
      </c>
      <c r="G37" s="22">
        <f>F39</f>
        <v>7941</v>
      </c>
    </row>
    <row r="38" spans="1:7" ht="15" customHeight="1" x14ac:dyDescent="0.3">
      <c r="A38" s="8" t="s">
        <v>152</v>
      </c>
      <c r="B38" s="22"/>
      <c r="C38" s="22"/>
      <c r="D38" s="22"/>
      <c r="E38" s="22">
        <f>-Assumptions!E28</f>
        <v>-1000</v>
      </c>
      <c r="F38" s="22">
        <f>-Assumptions!F28</f>
        <v>0</v>
      </c>
      <c r="G38" s="22">
        <f>-Assumptions!G28</f>
        <v>-500</v>
      </c>
    </row>
    <row r="39" spans="1:7" ht="15" customHeight="1" x14ac:dyDescent="0.3">
      <c r="A39" s="4" t="s">
        <v>153</v>
      </c>
      <c r="B39" s="23"/>
      <c r="C39" s="23">
        <f>BS!C22+BS!C23+BS!C34</f>
        <v>8933</v>
      </c>
      <c r="D39" s="23">
        <f>BS!D22+BS!D23+BS!D34</f>
        <v>8941</v>
      </c>
      <c r="E39" s="23">
        <f>E37+E38</f>
        <v>7941</v>
      </c>
      <c r="F39" s="23">
        <f>F37+F38</f>
        <v>7941</v>
      </c>
      <c r="G39" s="23">
        <f>G37+G38</f>
        <v>7441</v>
      </c>
    </row>
    <row r="40" spans="1:7" ht="15" customHeight="1" x14ac:dyDescent="0.3">
      <c r="A40" s="4" t="s">
        <v>154</v>
      </c>
      <c r="B40" s="23"/>
      <c r="C40" s="23"/>
      <c r="D40" s="23"/>
      <c r="E40" s="23">
        <f>E41+E42</f>
        <v>-203.76799999999997</v>
      </c>
      <c r="F40" s="23">
        <f>F41+F42</f>
        <v>-140.83690161690163</v>
      </c>
      <c r="G40" s="23">
        <f>G41+G42</f>
        <v>-123.5483606784249</v>
      </c>
    </row>
    <row r="41" spans="1:7" ht="15" customHeight="1" x14ac:dyDescent="0.3">
      <c r="A41" s="3" t="s">
        <v>155</v>
      </c>
      <c r="B41" s="22"/>
      <c r="C41" s="22"/>
      <c r="D41" s="22"/>
      <c r="E41" s="22">
        <f>AVERAGE(E37,E39)*Assumptions!E31</f>
        <v>236.34800000000001</v>
      </c>
      <c r="F41" s="22">
        <f>AVERAGE(F37,F39)*Assumptions!F31</f>
        <v>222.34800000000001</v>
      </c>
      <c r="G41" s="22">
        <f>AVERAGE(G37,G39)*Assumptions!G31</f>
        <v>215.34800000000001</v>
      </c>
    </row>
    <row r="42" spans="1:7" ht="15" customHeight="1" x14ac:dyDescent="0.3">
      <c r="A42" s="3" t="s">
        <v>156</v>
      </c>
      <c r="B42" s="22"/>
      <c r="C42" s="22"/>
      <c r="D42" s="22"/>
      <c r="E42" s="22">
        <f>-AVERAGE(BS!D7+BS!D8,BS!D7+BS!D8)*Assumptions!E30</f>
        <v>-440.11599999999999</v>
      </c>
      <c r="F42" s="22">
        <f>-AVERAGE(BS!E7+BS!E8,BS!E7+BS!E8)*Assumptions!F30</f>
        <v>-363.18490161690164</v>
      </c>
      <c r="G42" s="22">
        <f>-AVERAGE(BS!F7+BS!F8,BS!F7+BS!F8)*Assumptions!G30</f>
        <v>-338.89636067842491</v>
      </c>
    </row>
    <row r="45" spans="1:7" ht="15" customHeight="1" x14ac:dyDescent="0.3">
      <c r="A45" s="4" t="s">
        <v>157</v>
      </c>
    </row>
    <row r="46" spans="1:7" ht="15" customHeight="1" x14ac:dyDescent="0.3"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  <c r="G46" s="5" t="s">
        <v>7</v>
      </c>
    </row>
    <row r="47" spans="1:7" ht="15" customHeight="1" x14ac:dyDescent="0.3">
      <c r="A47" s="32" t="s">
        <v>158</v>
      </c>
      <c r="B47" s="22"/>
      <c r="C47" s="22"/>
      <c r="D47" s="22"/>
      <c r="E47" s="22">
        <f>-(E48-D48)</f>
        <v>58.595553558379834</v>
      </c>
      <c r="F47" s="22">
        <f>-(F48-E48)</f>
        <v>67.423455147805726</v>
      </c>
      <c r="G47" s="22">
        <f>-(G48-F48)</f>
        <v>-1.7924307326957205</v>
      </c>
    </row>
    <row r="48" spans="1:7" ht="15" customHeight="1" x14ac:dyDescent="0.3">
      <c r="A48" s="3" t="s">
        <v>159</v>
      </c>
      <c r="B48" s="22"/>
      <c r="C48" s="22">
        <f>(BS!C9+BS!C10+BS!C11)-(BS!C28+BS!C29+BS!C30)</f>
        <v>5761</v>
      </c>
      <c r="D48" s="22">
        <f>(BS!D9+BS!D10+BS!D11)-(BS!D28+BS!D29+BS!D30)</f>
        <v>5238</v>
      </c>
      <c r="E48" s="22">
        <f>(BS!E9+BS!E10+BS!E11)-(BS!E28+BS!E29+BS!E30)</f>
        <v>5179.4044464416202</v>
      </c>
      <c r="F48" s="22">
        <f>(BS!F9+BS!F10+BS!F11)-(BS!F28+BS!F29+BS!F30)</f>
        <v>5111.9809912938144</v>
      </c>
      <c r="G48" s="22">
        <f>(BS!G9+BS!G10+BS!G11)-(BS!G28+BS!G29+BS!G30)</f>
        <v>5113.7734220265102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46" customWidth="1"/>
    <col min="2" max="7" width="13" customWidth="1"/>
    <col min="8" max="8" width="3" customWidth="1"/>
  </cols>
  <sheetData>
    <row r="1" spans="1:8" ht="21.75" customHeight="1" x14ac:dyDescent="0.3">
      <c r="A1" s="1" t="s">
        <v>160</v>
      </c>
      <c r="B1" s="2"/>
      <c r="C1" s="2"/>
      <c r="D1" s="2"/>
      <c r="E1" s="2"/>
      <c r="F1" s="2"/>
      <c r="G1" s="2"/>
      <c r="H1" s="2"/>
    </row>
    <row r="2" spans="1:8" ht="15" customHeight="1" x14ac:dyDescent="0.3">
      <c r="A2" s="3"/>
    </row>
    <row r="5" spans="1:8" ht="15" customHeight="1" x14ac:dyDescent="0.3">
      <c r="A5" s="4" t="s">
        <v>161</v>
      </c>
    </row>
    <row r="6" spans="1:8" ht="15" customHeight="1" x14ac:dyDescent="0.3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1:8" ht="15" customHeight="1" x14ac:dyDescent="0.3">
      <c r="A7" s="4" t="s">
        <v>162</v>
      </c>
      <c r="B7" s="22">
        <f>IS!B7</f>
        <v>46710</v>
      </c>
      <c r="C7" s="22">
        <f>IS!C7</f>
        <v>51217</v>
      </c>
      <c r="D7" s="22">
        <f>IS!D7</f>
        <v>51362</v>
      </c>
      <c r="E7" s="22">
        <f>IS!E7</f>
        <v>51618.81</v>
      </c>
      <c r="F7" s="22">
        <f>IS!F7</f>
        <v>53425.468349999996</v>
      </c>
      <c r="G7" s="22">
        <f>IS!G7</f>
        <v>55829.614425749991</v>
      </c>
    </row>
    <row r="8" spans="1:8" ht="15" customHeight="1" x14ac:dyDescent="0.3">
      <c r="A8" s="3" t="s">
        <v>163</v>
      </c>
      <c r="B8" s="24"/>
      <c r="C8" s="24">
        <f>IF(B7=0,"",C7/B7-1)</f>
        <v>9.6488974523656568E-2</v>
      </c>
      <c r="D8" s="24">
        <f>IF(C7=0,"",D7/C7-1)</f>
        <v>2.8310912392370824E-3</v>
      </c>
      <c r="E8" s="24">
        <f>IF(D7=0,"",E7/D7-1)</f>
        <v>4.9999999999998934E-3</v>
      </c>
      <c r="F8" s="24">
        <f>IF(E7=0,"",F7/E7-1)</f>
        <v>3.499999999999992E-2</v>
      </c>
      <c r="G8" s="24">
        <f>IF(F7=0,"",G7/F7-1)</f>
        <v>4.4999999999999929E-2</v>
      </c>
    </row>
    <row r="9" spans="1:8" ht="15" customHeight="1" x14ac:dyDescent="0.3">
      <c r="A9" s="4" t="s">
        <v>164</v>
      </c>
      <c r="B9" s="22">
        <f>IS!B9</f>
        <v>21479</v>
      </c>
      <c r="C9" s="22">
        <f>IS!C9</f>
        <v>22292</v>
      </c>
      <c r="D9" s="22">
        <f>IS!D9</f>
        <v>22950</v>
      </c>
      <c r="E9" s="22">
        <f>IS!E9</f>
        <v>22970.370450000002</v>
      </c>
      <c r="F9" s="22">
        <f>IS!F9</f>
        <v>24041.460757499997</v>
      </c>
      <c r="G9" s="22">
        <f>IS!G9</f>
        <v>25290.81533486475</v>
      </c>
    </row>
    <row r="10" spans="1:8" ht="15" customHeight="1" x14ac:dyDescent="0.3">
      <c r="A10" s="3" t="s">
        <v>165</v>
      </c>
      <c r="B10" s="24">
        <f t="shared" ref="B10:G10" si="0">B9/B7</f>
        <v>0.45983729394134021</v>
      </c>
      <c r="C10" s="24">
        <f t="shared" si="0"/>
        <v>0.43524610969014194</v>
      </c>
      <c r="D10" s="24">
        <f t="shared" si="0"/>
        <v>0.44682839453292317</v>
      </c>
      <c r="E10" s="24">
        <f t="shared" si="0"/>
        <v>0.44500000000000006</v>
      </c>
      <c r="F10" s="24">
        <f t="shared" si="0"/>
        <v>0.45</v>
      </c>
      <c r="G10" s="24">
        <f t="shared" si="0"/>
        <v>0.45300000000000007</v>
      </c>
    </row>
    <row r="11" spans="1:8" ht="15" customHeight="1" x14ac:dyDescent="0.3">
      <c r="A11" s="4" t="s">
        <v>166</v>
      </c>
      <c r="B11" s="22">
        <f>IS!B15</f>
        <v>6675</v>
      </c>
      <c r="C11" s="22">
        <f>IS!C15</f>
        <v>5915</v>
      </c>
      <c r="D11" s="22">
        <f>IS!D15</f>
        <v>6495</v>
      </c>
      <c r="E11" s="22">
        <f>IS!E15</f>
        <v>6555.5888699999996</v>
      </c>
      <c r="F11" s="22">
        <f>IS!F15</f>
        <v>7212.438227249997</v>
      </c>
      <c r="G11" s="22">
        <f>IS!G15</f>
        <v>7927.8052484565014</v>
      </c>
    </row>
    <row r="12" spans="1:8" ht="15" customHeight="1" x14ac:dyDescent="0.3">
      <c r="A12" s="3" t="s">
        <v>167</v>
      </c>
      <c r="B12" s="24">
        <f t="shared" ref="B12:G12" si="1">B11/B7</f>
        <v>0.14290301862556198</v>
      </c>
      <c r="C12" s="24">
        <f t="shared" si="1"/>
        <v>0.11548899779370131</v>
      </c>
      <c r="D12" s="24">
        <f t="shared" si="1"/>
        <v>0.12645535609984035</v>
      </c>
      <c r="E12" s="24">
        <f t="shared" si="1"/>
        <v>0.127</v>
      </c>
      <c r="F12" s="24">
        <f t="shared" si="1"/>
        <v>0.13499999999999995</v>
      </c>
      <c r="G12" s="24">
        <f t="shared" si="1"/>
        <v>0.14200000000000004</v>
      </c>
    </row>
    <row r="13" spans="1:8" ht="15" customHeight="1" x14ac:dyDescent="0.3">
      <c r="A13" s="4" t="s">
        <v>168</v>
      </c>
      <c r="B13" s="22">
        <f>IS!B25</f>
        <v>7399.0050000000001</v>
      </c>
      <c r="C13" s="22">
        <f>IS!C25</f>
        <v>6708.8635000000004</v>
      </c>
      <c r="D13" s="22">
        <f>IS!D25</f>
        <v>7291.1109999999999</v>
      </c>
      <c r="E13" s="22">
        <f>IS!E25</f>
        <v>7355.6804249999996</v>
      </c>
      <c r="F13" s="22">
        <f>IS!F25</f>
        <v>8040.5329866749971</v>
      </c>
      <c r="G13" s="22">
        <f>IS!G25</f>
        <v>8793.1642720556265</v>
      </c>
    </row>
    <row r="14" spans="1:8" ht="15" customHeight="1" x14ac:dyDescent="0.3">
      <c r="A14" s="4" t="s">
        <v>134</v>
      </c>
      <c r="B14" s="22">
        <f>IS!B21</f>
        <v>6046</v>
      </c>
      <c r="C14" s="22">
        <f>IS!C21</f>
        <v>5070</v>
      </c>
      <c r="D14" s="22">
        <f>IS!D21</f>
        <v>5700</v>
      </c>
      <c r="E14" s="22">
        <f>IS!E21</f>
        <v>5635.8597707999998</v>
      </c>
      <c r="F14" s="22">
        <f>IS!F21</f>
        <v>6061.7183569595254</v>
      </c>
      <c r="G14" s="22">
        <f>IS!G21</f>
        <v>6601.1167275363141</v>
      </c>
    </row>
    <row r="15" spans="1:8" ht="15" customHeight="1" x14ac:dyDescent="0.3">
      <c r="A15" s="3" t="s">
        <v>169</v>
      </c>
      <c r="B15" s="24">
        <f t="shared" ref="B15:G15" si="2">B14/B7</f>
        <v>0.12943695140226932</v>
      </c>
      <c r="C15" s="24">
        <f t="shared" si="2"/>
        <v>9.8990569537458259E-2</v>
      </c>
      <c r="D15" s="24">
        <f t="shared" si="2"/>
        <v>0.11097698687745804</v>
      </c>
      <c r="E15" s="24">
        <f t="shared" si="2"/>
        <v>0.1091822878287973</v>
      </c>
      <c r="F15" s="24">
        <f t="shared" si="2"/>
        <v>0.11346121136923128</v>
      </c>
      <c r="G15" s="24">
        <f t="shared" si="2"/>
        <v>0.11823683175020669</v>
      </c>
    </row>
    <row r="16" spans="1:8" ht="15" customHeight="1" x14ac:dyDescent="0.3">
      <c r="A16" s="4" t="s">
        <v>93</v>
      </c>
      <c r="B16" s="26">
        <f>IS!B22</f>
        <v>3.7527155359692137</v>
      </c>
      <c r="C16" s="26">
        <f>IS!C22</f>
        <v>3.2319755211321475</v>
      </c>
      <c r="D16" s="26">
        <f>IS!D22</f>
        <v>3.7310990377691953</v>
      </c>
      <c r="E16" s="26">
        <f>IS!E22</f>
        <v>3.7837068768032385</v>
      </c>
      <c r="F16" s="26">
        <f>IS!F22</f>
        <v>4.1739615495584959</v>
      </c>
      <c r="G16" s="26">
        <f>IS!G22</f>
        <v>4.6619271932339199</v>
      </c>
    </row>
    <row r="19" spans="1:7" ht="15" customHeight="1" x14ac:dyDescent="0.3">
      <c r="A19" s="4" t="s">
        <v>170</v>
      </c>
    </row>
    <row r="20" spans="1:7" ht="15" customHeight="1" x14ac:dyDescent="0.3">
      <c r="B20" s="5" t="s">
        <v>2</v>
      </c>
      <c r="C20" s="5" t="s">
        <v>3</v>
      </c>
      <c r="D20" s="5" t="s">
        <v>4</v>
      </c>
      <c r="E20" s="5" t="s">
        <v>5</v>
      </c>
      <c r="F20" s="5" t="s">
        <v>6</v>
      </c>
      <c r="G20" s="5" t="s">
        <v>7</v>
      </c>
    </row>
    <row r="21" spans="1:7" ht="15" customHeight="1" x14ac:dyDescent="0.3">
      <c r="A21" s="8" t="s">
        <v>166</v>
      </c>
      <c r="E21" s="22">
        <f>IS!E15</f>
        <v>6555.5888699999996</v>
      </c>
      <c r="F21" s="22">
        <f>IS!F15</f>
        <v>7212.438227249997</v>
      </c>
      <c r="G21" s="22">
        <f>IS!G15</f>
        <v>7927.8052484565014</v>
      </c>
    </row>
    <row r="22" spans="1:7" ht="15" customHeight="1" x14ac:dyDescent="0.3">
      <c r="A22" s="8" t="s">
        <v>171</v>
      </c>
      <c r="E22" s="22">
        <f>-E21*Assumptions!E12</f>
        <v>-1048.8942192</v>
      </c>
      <c r="F22" s="22">
        <f>-F21*Assumptions!F12</f>
        <v>-1226.1144986324996</v>
      </c>
      <c r="G22" s="22">
        <f>-G21*Assumptions!G12</f>
        <v>-1387.3659184798876</v>
      </c>
    </row>
    <row r="23" spans="1:7" ht="15" customHeight="1" x14ac:dyDescent="0.3">
      <c r="A23" s="4" t="s">
        <v>172</v>
      </c>
      <c r="E23" s="22">
        <f>E21+E22</f>
        <v>5506.6946508000001</v>
      </c>
      <c r="F23" s="22">
        <f>F21+F22</f>
        <v>5986.3237286174972</v>
      </c>
      <c r="G23" s="22">
        <f>G21+G22</f>
        <v>6540.4393299766143</v>
      </c>
    </row>
    <row r="24" spans="1:7" ht="15" customHeight="1" x14ac:dyDescent="0.3">
      <c r="A24" s="8" t="s">
        <v>173</v>
      </c>
      <c r="E24" s="22">
        <f>IS!E26</f>
        <v>800.09155499999997</v>
      </c>
      <c r="F24" s="22">
        <f>IS!F26</f>
        <v>828.09475942499989</v>
      </c>
      <c r="G24" s="22">
        <f>IS!G26</f>
        <v>865.35902359912484</v>
      </c>
    </row>
    <row r="25" spans="1:7" ht="15" customHeight="1" x14ac:dyDescent="0.3">
      <c r="A25" s="8" t="s">
        <v>174</v>
      </c>
      <c r="E25" s="22">
        <f>CF!E15</f>
        <v>-980.75738999999999</v>
      </c>
      <c r="F25" s="22">
        <f>CF!F15</f>
        <v>-1015.0838986499999</v>
      </c>
      <c r="G25" s="22">
        <f>CF!G15</f>
        <v>-1060.7626740892499</v>
      </c>
    </row>
    <row r="26" spans="1:7" ht="15" customHeight="1" x14ac:dyDescent="0.3">
      <c r="A26" s="8" t="s">
        <v>175</v>
      </c>
      <c r="E26" s="22">
        <f>CF!E47</f>
        <v>58.595553558379834</v>
      </c>
      <c r="F26" s="22">
        <f>CF!F47</f>
        <v>67.423455147805726</v>
      </c>
      <c r="G26" s="22">
        <f>CF!G47</f>
        <v>-1.7924307326957205</v>
      </c>
    </row>
    <row r="27" spans="1:7" ht="15" customHeight="1" x14ac:dyDescent="0.3">
      <c r="A27" s="4" t="s">
        <v>176</v>
      </c>
      <c r="E27" s="33">
        <f>E23+E24+E25+E26</f>
        <v>5384.6243693583801</v>
      </c>
      <c r="F27" s="33">
        <f>F23+F24+F25+F26</f>
        <v>5866.7580445403028</v>
      </c>
      <c r="G27" s="33">
        <f>G23+G24+G25+G26</f>
        <v>6343.2432487537935</v>
      </c>
    </row>
    <row r="29" spans="1:7" ht="15" customHeight="1" x14ac:dyDescent="0.3">
      <c r="A29" s="4" t="s">
        <v>177</v>
      </c>
    </row>
    <row r="30" spans="1:7" ht="15" customHeight="1" x14ac:dyDescent="0.3">
      <c r="B30" s="5" t="s">
        <v>2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7</v>
      </c>
    </row>
    <row r="31" spans="1:7" ht="15" customHeight="1" x14ac:dyDescent="0.3">
      <c r="A31" s="4" t="s">
        <v>178</v>
      </c>
      <c r="B31" s="31">
        <f>BS!B47</f>
        <v>0</v>
      </c>
      <c r="C31" s="31">
        <f>BS!C47</f>
        <v>0</v>
      </c>
      <c r="D31" s="31">
        <f>BS!D47</f>
        <v>0</v>
      </c>
      <c r="E31" s="31">
        <f>BS!E47</f>
        <v>0</v>
      </c>
      <c r="F31" s="31">
        <f>BS!F47</f>
        <v>0</v>
      </c>
      <c r="G31" s="31">
        <f>BS!G47</f>
        <v>0</v>
      </c>
    </row>
    <row r="33" spans="1:1" ht="15" customHeight="1" x14ac:dyDescent="0.3">
      <c r="A33" s="15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4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12" width="13" customWidth="1"/>
  </cols>
  <sheetData>
    <row r="1" spans="1:12" ht="21.75" customHeight="1" x14ac:dyDescent="0.3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3"/>
    </row>
    <row r="4" spans="1:12" ht="15" customHeight="1" x14ac:dyDescent="0.3">
      <c r="A4" s="6" t="s">
        <v>181</v>
      </c>
      <c r="B4" s="7"/>
      <c r="C4" s="7"/>
      <c r="D4" s="7"/>
      <c r="E4" s="7"/>
      <c r="F4" s="7"/>
      <c r="G4" s="7"/>
      <c r="H4" s="7"/>
    </row>
    <row r="5" spans="1:12" ht="15" customHeight="1" x14ac:dyDescent="0.3">
      <c r="A5" s="8" t="s">
        <v>182</v>
      </c>
      <c r="C5" s="34">
        <v>75</v>
      </c>
    </row>
    <row r="6" spans="1:12" ht="15" customHeight="1" x14ac:dyDescent="0.3">
      <c r="A6" s="8" t="s">
        <v>183</v>
      </c>
      <c r="C6" s="27">
        <v>1527.7</v>
      </c>
    </row>
    <row r="7" spans="1:12" ht="15" customHeight="1" x14ac:dyDescent="0.3">
      <c r="A7" s="4" t="s">
        <v>184</v>
      </c>
      <c r="C7" s="31">
        <f>C5*C6</f>
        <v>114577.5</v>
      </c>
    </row>
    <row r="8" spans="1:12" ht="15" customHeight="1" x14ac:dyDescent="0.3">
      <c r="A8" s="8" t="s">
        <v>185</v>
      </c>
      <c r="C8" s="11">
        <f>BS!D22+BS!D23+BS!D34</f>
        <v>8941</v>
      </c>
    </row>
    <row r="9" spans="1:12" ht="15" customHeight="1" x14ac:dyDescent="0.3">
      <c r="A9" s="8" t="s">
        <v>186</v>
      </c>
      <c r="C9" s="11">
        <f>-(BS!D7+BS!D8)</f>
        <v>-11582</v>
      </c>
    </row>
    <row r="10" spans="1:12" ht="15" customHeight="1" x14ac:dyDescent="0.3">
      <c r="A10" s="4" t="s">
        <v>187</v>
      </c>
      <c r="C10" s="31">
        <f>C8+C9</f>
        <v>-2641</v>
      </c>
    </row>
    <row r="11" spans="1:12" ht="15" customHeight="1" x14ac:dyDescent="0.3">
      <c r="A11" s="4" t="s">
        <v>188</v>
      </c>
      <c r="C11" s="35">
        <f>C7+C10</f>
        <v>111936.5</v>
      </c>
    </row>
    <row r="13" spans="1:12" ht="15" customHeight="1" x14ac:dyDescent="0.3">
      <c r="A13" s="6" t="s">
        <v>189</v>
      </c>
      <c r="B13" s="7"/>
      <c r="C13" s="7"/>
      <c r="D13" s="7"/>
      <c r="E13" s="7"/>
      <c r="F13" s="7"/>
      <c r="G13" s="7"/>
      <c r="H13" s="7"/>
    </row>
    <row r="14" spans="1:12" ht="15" customHeight="1" x14ac:dyDescent="0.3">
      <c r="A14" s="8" t="s">
        <v>190</v>
      </c>
      <c r="C14" s="36">
        <v>4.7300000000000002E-2</v>
      </c>
    </row>
    <row r="15" spans="1:12" ht="15" customHeight="1" x14ac:dyDescent="0.3">
      <c r="A15" s="8" t="s">
        <v>191</v>
      </c>
      <c r="C15" s="37">
        <v>1.08</v>
      </c>
    </row>
    <row r="16" spans="1:12" ht="15" customHeight="1" x14ac:dyDescent="0.3">
      <c r="A16" s="8" t="s">
        <v>192</v>
      </c>
      <c r="C16" s="36">
        <v>4.4499999999999998E-2</v>
      </c>
    </row>
    <row r="17" spans="1:8" ht="15" customHeight="1" x14ac:dyDescent="0.3">
      <c r="A17" s="4" t="s">
        <v>193</v>
      </c>
      <c r="C17" s="38">
        <f>C14+C15*C16</f>
        <v>9.536E-2</v>
      </c>
    </row>
    <row r="19" spans="1:8" ht="15" customHeight="1" x14ac:dyDescent="0.3">
      <c r="A19" s="6" t="s">
        <v>194</v>
      </c>
      <c r="B19" s="7"/>
      <c r="C19" s="7"/>
      <c r="D19" s="7"/>
      <c r="E19" s="7"/>
      <c r="F19" s="7"/>
      <c r="G19" s="7"/>
      <c r="H19" s="7"/>
    </row>
    <row r="20" spans="1:8" ht="15" customHeight="1" x14ac:dyDescent="0.3">
      <c r="A20" s="8" t="s">
        <v>195</v>
      </c>
      <c r="C20" s="36">
        <v>0.05</v>
      </c>
    </row>
    <row r="21" spans="1:8" ht="15" customHeight="1" x14ac:dyDescent="0.3">
      <c r="A21" s="8" t="s">
        <v>196</v>
      </c>
      <c r="C21" s="36">
        <v>0.17499999999999999</v>
      </c>
    </row>
    <row r="22" spans="1:8" ht="15" customHeight="1" x14ac:dyDescent="0.3">
      <c r="A22" s="4" t="s">
        <v>197</v>
      </c>
      <c r="C22" s="38">
        <f>C20*(1-C21)</f>
        <v>4.1250000000000002E-2</v>
      </c>
    </row>
    <row r="24" spans="1:8" ht="15" customHeight="1" x14ac:dyDescent="0.3">
      <c r="A24" s="6" t="s">
        <v>198</v>
      </c>
      <c r="B24" s="7"/>
      <c r="C24" s="7"/>
      <c r="D24" s="7"/>
      <c r="E24" s="7"/>
      <c r="F24" s="7"/>
      <c r="G24" s="7"/>
      <c r="H24" s="7"/>
    </row>
    <row r="25" spans="1:8" ht="15" customHeight="1" x14ac:dyDescent="0.3">
      <c r="A25" s="8" t="s">
        <v>199</v>
      </c>
      <c r="C25" s="9">
        <f>C7/(C7+C8)</f>
        <v>0.92761408210106178</v>
      </c>
    </row>
    <row r="26" spans="1:8" ht="15" customHeight="1" x14ac:dyDescent="0.3">
      <c r="A26" s="8" t="s">
        <v>200</v>
      </c>
      <c r="C26" s="9">
        <f>C8/(C7+C8)</f>
        <v>7.238591789893821E-2</v>
      </c>
    </row>
    <row r="27" spans="1:8" ht="15" customHeight="1" x14ac:dyDescent="0.3">
      <c r="A27" s="4" t="s">
        <v>201</v>
      </c>
      <c r="C27" s="39">
        <f>C25*C17+C26*C22</f>
        <v>9.1443197982488442E-2</v>
      </c>
    </row>
    <row r="29" spans="1:8" ht="15" customHeight="1" x14ac:dyDescent="0.3">
      <c r="A29" s="15"/>
    </row>
    <row r="30" spans="1:8" ht="15" customHeight="1" x14ac:dyDescent="0.3">
      <c r="A30" s="15"/>
    </row>
    <row r="31" spans="1:8" ht="15" customHeight="1" x14ac:dyDescent="0.3">
      <c r="A31" s="15"/>
    </row>
    <row r="32" spans="1:8" ht="15" customHeight="1" x14ac:dyDescent="0.3">
      <c r="A32" s="15"/>
    </row>
    <row r="33" spans="1:1" ht="15" customHeight="1" x14ac:dyDescent="0.3">
      <c r="A33" s="15"/>
    </row>
    <row r="34" spans="1:1" ht="15" customHeight="1" x14ac:dyDescent="0.3">
      <c r="A34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5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12" width="13" customWidth="1"/>
  </cols>
  <sheetData>
    <row r="1" spans="1:12" ht="21.75" customHeight="1" x14ac:dyDescent="0.3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3"/>
    </row>
    <row r="4" spans="1:12" ht="15" customHeight="1" x14ac:dyDescent="0.3">
      <c r="A4" s="6" t="s">
        <v>203</v>
      </c>
      <c r="B4" s="7"/>
      <c r="C4" s="7"/>
      <c r="D4" s="7"/>
      <c r="E4" s="7"/>
      <c r="F4" s="7"/>
      <c r="G4" s="7"/>
      <c r="H4" s="7"/>
    </row>
    <row r="5" spans="1:12" ht="15" customHeight="1" x14ac:dyDescent="0.3">
      <c r="C5" s="5" t="s">
        <v>5</v>
      </c>
      <c r="D5" s="5" t="s">
        <v>6</v>
      </c>
      <c r="E5" s="5" t="s">
        <v>7</v>
      </c>
      <c r="F5" s="5" t="s">
        <v>204</v>
      </c>
      <c r="G5" s="5" t="s">
        <v>205</v>
      </c>
    </row>
    <row r="6" spans="1:12" ht="15" customHeight="1" x14ac:dyDescent="0.3">
      <c r="A6" s="8" t="s">
        <v>166</v>
      </c>
      <c r="C6" s="22">
        <f>Summary!E21</f>
        <v>6555.5888699999996</v>
      </c>
      <c r="D6" s="22">
        <f>Summary!F21</f>
        <v>7212.438227249997</v>
      </c>
      <c r="E6" s="22">
        <f>Summary!G21</f>
        <v>7927.8052484565014</v>
      </c>
      <c r="F6" s="22"/>
      <c r="G6" s="22"/>
    </row>
    <row r="7" spans="1:12" ht="15" customHeight="1" x14ac:dyDescent="0.3">
      <c r="A7" s="8" t="s">
        <v>171</v>
      </c>
      <c r="C7" s="22">
        <f>Summary!E22</f>
        <v>-1048.8942192</v>
      </c>
      <c r="D7" s="22">
        <f>Summary!F22</f>
        <v>-1226.1144986324996</v>
      </c>
      <c r="E7" s="22">
        <f>Summary!G22</f>
        <v>-1387.3659184798876</v>
      </c>
      <c r="F7" s="22"/>
      <c r="G7" s="22"/>
    </row>
    <row r="8" spans="1:12" ht="15" customHeight="1" x14ac:dyDescent="0.3">
      <c r="A8" s="4" t="s">
        <v>172</v>
      </c>
      <c r="C8" s="23">
        <f>C6+C7</f>
        <v>5506.6946508000001</v>
      </c>
      <c r="D8" s="23">
        <f>D6+D7</f>
        <v>5986.3237286174972</v>
      </c>
      <c r="E8" s="23">
        <f>E6+E7</f>
        <v>6540.4393299766143</v>
      </c>
      <c r="F8" s="23"/>
      <c r="G8" s="23"/>
    </row>
    <row r="9" spans="1:12" ht="15" customHeight="1" x14ac:dyDescent="0.3">
      <c r="A9" s="8" t="s">
        <v>173</v>
      </c>
      <c r="C9" s="22">
        <f>Summary!E24</f>
        <v>800.09155499999997</v>
      </c>
      <c r="D9" s="22">
        <f>Summary!F24</f>
        <v>828.09475942499989</v>
      </c>
      <c r="E9" s="22">
        <f>Summary!G24</f>
        <v>865.35902359912484</v>
      </c>
      <c r="F9" s="22"/>
      <c r="G9" s="22"/>
    </row>
    <row r="10" spans="1:12" ht="15" customHeight="1" x14ac:dyDescent="0.3">
      <c r="A10" s="8" t="s">
        <v>174</v>
      </c>
      <c r="C10" s="22">
        <f>Summary!E25</f>
        <v>-980.75738999999999</v>
      </c>
      <c r="D10" s="22">
        <f>Summary!F25</f>
        <v>-1015.0838986499999</v>
      </c>
      <c r="E10" s="22">
        <f>Summary!G25</f>
        <v>-1060.7626740892499</v>
      </c>
      <c r="F10" s="22"/>
      <c r="G10" s="22"/>
    </row>
    <row r="11" spans="1:12" ht="15" customHeight="1" x14ac:dyDescent="0.3">
      <c r="A11" s="8" t="s">
        <v>175</v>
      </c>
      <c r="C11" s="22">
        <f>Summary!E26</f>
        <v>58.595553558379834</v>
      </c>
      <c r="D11" s="22">
        <f>Summary!F26</f>
        <v>67.423455147805726</v>
      </c>
      <c r="E11" s="22">
        <f>Summary!G26</f>
        <v>-1.7924307326957205</v>
      </c>
      <c r="F11" s="22"/>
      <c r="G11" s="22"/>
    </row>
    <row r="12" spans="1:12" ht="15" customHeight="1" x14ac:dyDescent="0.3">
      <c r="A12" s="4" t="s">
        <v>176</v>
      </c>
      <c r="C12" s="33">
        <f>C8+C9+C10+C11</f>
        <v>5384.6243693583801</v>
      </c>
      <c r="D12" s="33">
        <f>D8+D9+D10+D11</f>
        <v>5866.7580445403028</v>
      </c>
      <c r="E12" s="33">
        <f>E8+E9+E10+E11</f>
        <v>6343.2432487537935</v>
      </c>
      <c r="F12" s="33">
        <f>E12*(1+F15)</f>
        <v>6596.972978703945</v>
      </c>
      <c r="G12" s="33">
        <f>F12*(1+G15)</f>
        <v>6860.8518978521033</v>
      </c>
    </row>
    <row r="13" spans="1:12" ht="15" customHeight="1" x14ac:dyDescent="0.3">
      <c r="A13" s="3" t="s">
        <v>206</v>
      </c>
      <c r="C13" s="24"/>
      <c r="D13" s="24">
        <f>D12/C12-1</f>
        <v>8.9538961700939002E-2</v>
      </c>
      <c r="E13" s="24">
        <f>E12/D12-1</f>
        <v>8.1217803869875871E-2</v>
      </c>
      <c r="F13" s="24">
        <f>F12/E12-1</f>
        <v>4.0000000000000036E-2</v>
      </c>
      <c r="G13" s="24">
        <f>G12/F12-1</f>
        <v>4.0000000000000036E-2</v>
      </c>
    </row>
    <row r="15" spans="1:12" ht="15" customHeight="1" x14ac:dyDescent="0.3">
      <c r="A15" s="8" t="s">
        <v>207</v>
      </c>
      <c r="F15" s="10">
        <v>0.04</v>
      </c>
      <c r="G15" s="10">
        <v>0.04</v>
      </c>
    </row>
    <row r="17" spans="1:8" ht="15" customHeight="1" x14ac:dyDescent="0.3">
      <c r="A17" s="6" t="s">
        <v>208</v>
      </c>
      <c r="B17" s="7"/>
      <c r="C17" s="7"/>
      <c r="D17" s="7"/>
      <c r="E17" s="7"/>
      <c r="F17" s="7"/>
      <c r="G17" s="7"/>
      <c r="H17" s="7"/>
    </row>
    <row r="18" spans="1:8" ht="15" customHeight="1" x14ac:dyDescent="0.3">
      <c r="A18" s="4" t="s">
        <v>209</v>
      </c>
      <c r="C18" s="40">
        <f>WACC!C27</f>
        <v>9.1443197982488442E-2</v>
      </c>
    </row>
    <row r="19" spans="1:8" ht="15" customHeight="1" x14ac:dyDescent="0.3">
      <c r="A19" s="4" t="s">
        <v>210</v>
      </c>
      <c r="C19" s="36">
        <v>2.5000000000000001E-2</v>
      </c>
    </row>
    <row r="20" spans="1:8" ht="15" customHeight="1" x14ac:dyDescent="0.3">
      <c r="A20" s="8" t="s">
        <v>211</v>
      </c>
      <c r="C20" s="13">
        <v>1</v>
      </c>
      <c r="D20" s="13">
        <v>2</v>
      </c>
      <c r="E20" s="13">
        <v>3</v>
      </c>
      <c r="F20" s="13">
        <v>4</v>
      </c>
      <c r="G20" s="13">
        <v>5</v>
      </c>
    </row>
    <row r="21" spans="1:8" ht="15" customHeight="1" x14ac:dyDescent="0.3">
      <c r="A21" s="8" t="s">
        <v>212</v>
      </c>
      <c r="C21" s="41">
        <f>1/(1+$C$18)^C20</f>
        <v>0.91621808798522975</v>
      </c>
      <c r="D21" s="41">
        <f>1/(1+$C$18)^D20</f>
        <v>0.8394555847513101</v>
      </c>
      <c r="E21" s="41">
        <f>1/(1+$C$18)^E20</f>
        <v>0.76912439080936823</v>
      </c>
      <c r="F21" s="41">
        <f>1/(1+$C$18)^F20</f>
        <v>0.70468567877016397</v>
      </c>
      <c r="G21" s="41">
        <f>1/(1+$C$18)^G20</f>
        <v>0.64564576523337347</v>
      </c>
    </row>
    <row r="22" spans="1:8" ht="15" customHeight="1" x14ac:dyDescent="0.3">
      <c r="A22" s="4" t="s">
        <v>213</v>
      </c>
      <c r="C22" s="31">
        <f>C12*C21</f>
        <v>4933.4902442122084</v>
      </c>
      <c r="D22" s="31">
        <f>D12*D21</f>
        <v>4924.8828048740324</v>
      </c>
      <c r="E22" s="31">
        <f>E12*E21</f>
        <v>4878.7430994533988</v>
      </c>
      <c r="F22" s="31">
        <f>F12*F21</f>
        <v>4648.7923813264197</v>
      </c>
      <c r="G22" s="31">
        <f>G12*G21</f>
        <v>4429.679973741564</v>
      </c>
    </row>
    <row r="24" spans="1:8" ht="15" customHeight="1" x14ac:dyDescent="0.3">
      <c r="A24" s="6" t="s">
        <v>214</v>
      </c>
      <c r="B24" s="7"/>
      <c r="C24" s="7"/>
      <c r="D24" s="7"/>
      <c r="E24" s="7"/>
      <c r="F24" s="7"/>
      <c r="G24" s="7"/>
      <c r="H24" s="7"/>
    </row>
    <row r="25" spans="1:8" ht="15" customHeight="1" x14ac:dyDescent="0.3">
      <c r="A25" s="8" t="s">
        <v>215</v>
      </c>
      <c r="C25" s="11">
        <f>G12</f>
        <v>6860.8518978521033</v>
      </c>
    </row>
    <row r="26" spans="1:8" ht="15" customHeight="1" x14ac:dyDescent="0.3">
      <c r="A26" s="4" t="s">
        <v>216</v>
      </c>
      <c r="C26" s="31">
        <f>C25*(1+C19)/(C18-C19)</f>
        <v>105840.37807981242</v>
      </c>
    </row>
    <row r="27" spans="1:8" ht="15" customHeight="1" x14ac:dyDescent="0.3">
      <c r="A27" s="4" t="s">
        <v>217</v>
      </c>
      <c r="C27" s="31">
        <f>C26*G21</f>
        <v>68335.391897930051</v>
      </c>
    </row>
    <row r="29" spans="1:8" ht="15" customHeight="1" x14ac:dyDescent="0.3">
      <c r="A29" s="6" t="s">
        <v>218</v>
      </c>
      <c r="B29" s="7"/>
      <c r="C29" s="7"/>
      <c r="D29" s="7"/>
      <c r="E29" s="7"/>
      <c r="F29" s="7"/>
      <c r="G29" s="7"/>
      <c r="H29" s="7"/>
    </row>
    <row r="30" spans="1:8" ht="15" customHeight="1" x14ac:dyDescent="0.3">
      <c r="A30" s="8" t="s">
        <v>219</v>
      </c>
      <c r="C30" s="11">
        <f>SUM(C22:G22)</f>
        <v>23815.588503607622</v>
      </c>
    </row>
    <row r="31" spans="1:8" ht="15" customHeight="1" x14ac:dyDescent="0.3">
      <c r="A31" s="8" t="s">
        <v>220</v>
      </c>
      <c r="C31" s="11">
        <f>C27</f>
        <v>68335.391897930051</v>
      </c>
    </row>
    <row r="32" spans="1:8" ht="15" customHeight="1" x14ac:dyDescent="0.3">
      <c r="A32" s="4" t="s">
        <v>221</v>
      </c>
      <c r="C32" s="35">
        <f>C30+C31</f>
        <v>92150.980401537672</v>
      </c>
    </row>
    <row r="33" spans="1:8" ht="15" customHeight="1" x14ac:dyDescent="0.3">
      <c r="A33" s="3" t="s">
        <v>222</v>
      </c>
      <c r="C33" s="9">
        <f>C31/C32</f>
        <v>0.74155903279776469</v>
      </c>
    </row>
    <row r="34" spans="1:8" ht="15" customHeight="1" x14ac:dyDescent="0.3">
      <c r="A34" s="8" t="s">
        <v>223</v>
      </c>
      <c r="C34" s="11">
        <f>-WACC!C10</f>
        <v>2641</v>
      </c>
    </row>
    <row r="35" spans="1:8" ht="15" customHeight="1" x14ac:dyDescent="0.3">
      <c r="A35" s="4" t="s">
        <v>224</v>
      </c>
      <c r="C35" s="31">
        <f>C32+C34</f>
        <v>94791.980401537672</v>
      </c>
    </row>
    <row r="36" spans="1:8" ht="15" customHeight="1" x14ac:dyDescent="0.3">
      <c r="A36" s="8" t="s">
        <v>183</v>
      </c>
      <c r="C36" s="42">
        <f>WACC!C6</f>
        <v>1527.7</v>
      </c>
    </row>
    <row r="37" spans="1:8" ht="15" customHeight="1" x14ac:dyDescent="0.3">
      <c r="A37" s="4" t="s">
        <v>225</v>
      </c>
      <c r="C37" s="43">
        <f>C35/C36</f>
        <v>62.048818748142743</v>
      </c>
    </row>
    <row r="38" spans="1:8" ht="15" customHeight="1" x14ac:dyDescent="0.3">
      <c r="A38" s="8" t="s">
        <v>76</v>
      </c>
      <c r="C38" s="21">
        <f>WACC!C5</f>
        <v>75</v>
      </c>
    </row>
    <row r="39" spans="1:8" ht="15" customHeight="1" x14ac:dyDescent="0.3">
      <c r="A39" s="4" t="s">
        <v>226</v>
      </c>
      <c r="C39" s="44">
        <f>C37/C38-1</f>
        <v>-0.17268241669143014</v>
      </c>
    </row>
    <row r="42" spans="1:8" ht="15" customHeight="1" x14ac:dyDescent="0.3">
      <c r="A42" s="6" t="s">
        <v>227</v>
      </c>
      <c r="B42" s="7"/>
      <c r="C42" s="7"/>
      <c r="D42" s="7"/>
      <c r="E42" s="7"/>
      <c r="F42" s="7"/>
      <c r="G42" s="7"/>
      <c r="H42" s="7"/>
    </row>
    <row r="43" spans="1:8" ht="15" customHeight="1" x14ac:dyDescent="0.3">
      <c r="B43" s="4" t="s">
        <v>228</v>
      </c>
      <c r="C43" s="45">
        <f>$C$18+-0.01</f>
        <v>8.1443197982488447E-2</v>
      </c>
      <c r="D43" s="45">
        <f>$C$18+-0.005</f>
        <v>8.6443197982488437E-2</v>
      </c>
      <c r="E43" s="45">
        <f>$C$18+0</f>
        <v>9.1443197982488442E-2</v>
      </c>
      <c r="F43" s="45">
        <f>$C$18+0.005</f>
        <v>9.6443197982488446E-2</v>
      </c>
      <c r="G43" s="45">
        <f>$C$18+0.01</f>
        <v>0.10144319798248844</v>
      </c>
    </row>
    <row r="44" spans="1:8" ht="15" customHeight="1" x14ac:dyDescent="0.3">
      <c r="B44" s="40">
        <f>$C$19+-0.01</f>
        <v>1.5000000000000001E-2</v>
      </c>
      <c r="C44" s="46">
        <f t="shared" ref="C44:G48" si="0">(($C$12/(1+C$43)^$C$20+$D$12/(1+C$43)^$D$20+$E$12/(1+C$43)^$E$20+$F$12/(1+C$43)^$F$20+$G$12/(1+C$43)^$G$20+($G$12*(1+$B44)/(C$43-$B44))/(1+C$43)^$G$20)+$C$34)/$C$36</f>
        <v>64.128435527340073</v>
      </c>
      <c r="D44" s="46">
        <f t="shared" si="0"/>
        <v>59.681767995671692</v>
      </c>
      <c r="E44" s="46">
        <f t="shared" si="0"/>
        <v>55.81798682007382</v>
      </c>
      <c r="F44" s="46">
        <f t="shared" si="0"/>
        <v>52.429712956729304</v>
      </c>
      <c r="G44" s="46">
        <f t="shared" si="0"/>
        <v>49.434411832731847</v>
      </c>
    </row>
    <row r="45" spans="1:8" ht="15" customHeight="1" x14ac:dyDescent="0.3">
      <c r="B45" s="40">
        <f>$C$19+-0.005</f>
        <v>0.02</v>
      </c>
      <c r="C45" s="46">
        <f t="shared" si="0"/>
        <v>68.149775378408947</v>
      </c>
      <c r="D45" s="46">
        <f t="shared" si="0"/>
        <v>63.077007813807441</v>
      </c>
      <c r="E45" s="46">
        <f t="shared" si="0"/>
        <v>58.715368313926952</v>
      </c>
      <c r="F45" s="46">
        <f t="shared" si="0"/>
        <v>54.925294434791354</v>
      </c>
      <c r="G45" s="46">
        <f t="shared" si="0"/>
        <v>51.601496629421945</v>
      </c>
    </row>
    <row r="46" spans="1:8" ht="15" customHeight="1" x14ac:dyDescent="0.3">
      <c r="B46" s="40">
        <f>$C$19+0</f>
        <v>2.5000000000000001E-2</v>
      </c>
      <c r="C46" s="46">
        <f t="shared" si="0"/>
        <v>72.883573062273982</v>
      </c>
      <c r="D46" s="46">
        <f t="shared" si="0"/>
        <v>67.024829517264891</v>
      </c>
      <c r="E46" s="46">
        <f t="shared" si="0"/>
        <v>62.048818748142743</v>
      </c>
      <c r="F46" s="46">
        <f t="shared" si="0"/>
        <v>57.770185790985337</v>
      </c>
      <c r="G46" s="46">
        <f t="shared" si="0"/>
        <v>54.052070978339621</v>
      </c>
    </row>
    <row r="47" spans="1:8" ht="15" customHeight="1" x14ac:dyDescent="0.3">
      <c r="B47" s="40">
        <f>$C$19+0.005</f>
        <v>3.0000000000000002E-2</v>
      </c>
      <c r="C47" s="46">
        <f t="shared" si="0"/>
        <v>78.537569697509909</v>
      </c>
      <c r="D47" s="46">
        <f t="shared" si="0"/>
        <v>71.672083897212829</v>
      </c>
      <c r="E47" s="46">
        <f t="shared" si="0"/>
        <v>65.924794725245462</v>
      </c>
      <c r="F47" s="46">
        <f t="shared" si="0"/>
        <v>61.043246085848367</v>
      </c>
      <c r="G47" s="46">
        <f t="shared" si="0"/>
        <v>56.845655497311348</v>
      </c>
    </row>
    <row r="48" spans="1:8" ht="15" customHeight="1" x14ac:dyDescent="0.3">
      <c r="B48" s="40">
        <f>$C$19+0.01</f>
        <v>3.5000000000000003E-2</v>
      </c>
      <c r="C48" s="46">
        <f t="shared" si="0"/>
        <v>85.408966701550696</v>
      </c>
      <c r="D48" s="46">
        <f t="shared" si="0"/>
        <v>77.222714148452809</v>
      </c>
      <c r="E48" s="46">
        <f t="shared" si="0"/>
        <v>70.487474524180755</v>
      </c>
      <c r="F48" s="46">
        <f t="shared" si="0"/>
        <v>64.849003310938883</v>
      </c>
      <c r="G48" s="46">
        <f t="shared" si="0"/>
        <v>60.059687045293913</v>
      </c>
    </row>
    <row r="51" spans="1:1" ht="15" customHeight="1" x14ac:dyDescent="0.3">
      <c r="A51" s="15"/>
    </row>
    <row r="52" spans="1:1" ht="15" customHeight="1" x14ac:dyDescent="0.3">
      <c r="A52" s="15"/>
    </row>
    <row r="53" spans="1:1" ht="15" customHeight="1" x14ac:dyDescent="0.3">
      <c r="A53" s="15"/>
    </row>
    <row r="54" spans="1:1" ht="15" customHeight="1" x14ac:dyDescent="0.3">
      <c r="A54" s="15"/>
    </row>
    <row r="55" spans="1:1" ht="15" customHeight="1" x14ac:dyDescent="0.3">
      <c r="A55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2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" width="16" customWidth="1"/>
    <col min="3" max="3" width="12" customWidth="1"/>
    <col min="4" max="9" width="13" customWidth="1"/>
    <col min="10" max="11" width="11" customWidth="1"/>
    <col min="12" max="12" width="13" customWidth="1"/>
  </cols>
  <sheetData>
    <row r="1" spans="1:12" ht="21.75" customHeight="1" x14ac:dyDescent="0.3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3"/>
    </row>
    <row r="5" spans="1:12" ht="23.25" customHeight="1" x14ac:dyDescent="0.3">
      <c r="A5" s="47" t="s">
        <v>230</v>
      </c>
      <c r="B5" s="47" t="s">
        <v>231</v>
      </c>
      <c r="C5" s="47" t="s">
        <v>232</v>
      </c>
      <c r="D5" s="47" t="s">
        <v>233</v>
      </c>
      <c r="E5" s="47" t="s">
        <v>234</v>
      </c>
      <c r="F5" s="47" t="s">
        <v>235</v>
      </c>
      <c r="G5" s="47" t="s">
        <v>221</v>
      </c>
      <c r="H5" s="47" t="s">
        <v>236</v>
      </c>
      <c r="I5" s="47" t="s">
        <v>237</v>
      </c>
      <c r="J5" s="47" t="s">
        <v>238</v>
      </c>
      <c r="K5" s="47" t="s">
        <v>239</v>
      </c>
    </row>
    <row r="6" spans="1:12" ht="15" customHeight="1" x14ac:dyDescent="0.3">
      <c r="A6" s="20" t="s">
        <v>240</v>
      </c>
      <c r="B6" s="20" t="s">
        <v>241</v>
      </c>
      <c r="C6" s="34">
        <v>120.8</v>
      </c>
      <c r="D6" s="27">
        <v>108.4</v>
      </c>
      <c r="E6" s="11">
        <f t="shared" ref="E6:E15" si="0">C6*D6</f>
        <v>13094.720000000001</v>
      </c>
      <c r="F6" s="12">
        <v>630</v>
      </c>
      <c r="G6" s="11">
        <f t="shared" ref="G6:G15" si="1">E6+F6</f>
        <v>13724.720000000001</v>
      </c>
      <c r="H6" s="12">
        <v>11200</v>
      </c>
      <c r="I6" s="12">
        <v>2600</v>
      </c>
      <c r="J6" s="48">
        <f t="shared" ref="J6:J15" si="2">G6/H6</f>
        <v>1.2254214285714287</v>
      </c>
      <c r="K6" s="48">
        <f t="shared" ref="K6:K15" si="3">G6/I6</f>
        <v>5.2787384615384623</v>
      </c>
    </row>
    <row r="7" spans="1:12" ht="15" customHeight="1" x14ac:dyDescent="0.3">
      <c r="A7" s="20" t="s">
        <v>242</v>
      </c>
      <c r="B7" s="20" t="s">
        <v>243</v>
      </c>
      <c r="C7" s="34">
        <v>91.5</v>
      </c>
      <c r="D7" s="27">
        <v>151.19999999999999</v>
      </c>
      <c r="E7" s="11">
        <f t="shared" si="0"/>
        <v>13834.8</v>
      </c>
      <c r="F7" s="12">
        <v>-1130</v>
      </c>
      <c r="G7" s="11">
        <f t="shared" si="1"/>
        <v>12704.8</v>
      </c>
      <c r="H7" s="12">
        <v>5350</v>
      </c>
      <c r="I7" s="12">
        <v>1360</v>
      </c>
      <c r="J7" s="48">
        <f t="shared" si="2"/>
        <v>2.3747289719626168</v>
      </c>
      <c r="K7" s="48">
        <f t="shared" si="3"/>
        <v>9.341764705882353</v>
      </c>
    </row>
    <row r="8" spans="1:12" ht="15" customHeight="1" x14ac:dyDescent="0.3">
      <c r="A8" s="20" t="s">
        <v>244</v>
      </c>
      <c r="B8" s="20" t="s">
        <v>245</v>
      </c>
      <c r="C8" s="34">
        <v>63.1</v>
      </c>
      <c r="D8" s="27">
        <v>150.30000000000001</v>
      </c>
      <c r="E8" s="11">
        <f t="shared" si="0"/>
        <v>9483.93</v>
      </c>
      <c r="F8" s="12">
        <v>-120</v>
      </c>
      <c r="G8" s="11">
        <f t="shared" si="1"/>
        <v>9363.93</v>
      </c>
      <c r="H8" s="12">
        <v>9410</v>
      </c>
      <c r="I8" s="12">
        <v>1180</v>
      </c>
      <c r="J8" s="48">
        <f t="shared" si="2"/>
        <v>0.99510414452709883</v>
      </c>
      <c r="K8" s="48">
        <f t="shared" si="3"/>
        <v>7.9355338983050849</v>
      </c>
    </row>
    <row r="9" spans="1:12" ht="15" customHeight="1" x14ac:dyDescent="0.3">
      <c r="A9" s="20" t="s">
        <v>246</v>
      </c>
      <c r="B9" s="20" t="s">
        <v>247</v>
      </c>
      <c r="C9" s="34">
        <v>5.35</v>
      </c>
      <c r="D9" s="27">
        <v>426</v>
      </c>
      <c r="E9" s="11">
        <f t="shared" si="0"/>
        <v>2279.1</v>
      </c>
      <c r="F9" s="12">
        <v>450</v>
      </c>
      <c r="G9" s="11">
        <f t="shared" si="1"/>
        <v>2729.1</v>
      </c>
      <c r="H9" s="12">
        <v>5180</v>
      </c>
      <c r="I9" s="12">
        <v>310</v>
      </c>
      <c r="J9" s="48">
        <f t="shared" si="2"/>
        <v>0.52685328185328184</v>
      </c>
      <c r="K9" s="48">
        <f t="shared" si="3"/>
        <v>8.8035483870967735</v>
      </c>
    </row>
    <row r="10" spans="1:12" ht="15" customHeight="1" x14ac:dyDescent="0.3">
      <c r="A10" s="20" t="s">
        <v>248</v>
      </c>
      <c r="B10" s="20" t="s">
        <v>249</v>
      </c>
      <c r="C10" s="34">
        <v>153.1</v>
      </c>
      <c r="D10" s="27">
        <v>174</v>
      </c>
      <c r="E10" s="11">
        <f t="shared" si="0"/>
        <v>26639.399999999998</v>
      </c>
      <c r="F10" s="12">
        <v>3250</v>
      </c>
      <c r="G10" s="11">
        <f t="shared" si="1"/>
        <v>29889.399999999998</v>
      </c>
      <c r="H10" s="12">
        <v>26040</v>
      </c>
      <c r="I10" s="12">
        <v>2850</v>
      </c>
      <c r="J10" s="48">
        <f t="shared" si="2"/>
        <v>1.147826420890937</v>
      </c>
      <c r="K10" s="48">
        <f t="shared" si="3"/>
        <v>10.487508771929823</v>
      </c>
    </row>
    <row r="11" spans="1:12" ht="15" customHeight="1" x14ac:dyDescent="0.3">
      <c r="A11" s="20" t="s">
        <v>250</v>
      </c>
      <c r="B11" s="20" t="s">
        <v>251</v>
      </c>
      <c r="C11" s="34">
        <v>27.8</v>
      </c>
      <c r="D11" s="27">
        <v>147.19999999999999</v>
      </c>
      <c r="E11" s="11">
        <f t="shared" si="0"/>
        <v>4092.16</v>
      </c>
      <c r="F11" s="12">
        <v>2450</v>
      </c>
      <c r="G11" s="11">
        <f t="shared" si="1"/>
        <v>6542.16</v>
      </c>
      <c r="H11" s="12">
        <v>7900</v>
      </c>
      <c r="I11" s="12">
        <v>640</v>
      </c>
      <c r="J11" s="48">
        <f t="shared" si="2"/>
        <v>0.82812151898734176</v>
      </c>
      <c r="K11" s="48">
        <f t="shared" si="3"/>
        <v>10.222125</v>
      </c>
    </row>
    <row r="12" spans="1:12" ht="15" customHeight="1" x14ac:dyDescent="0.3">
      <c r="A12" s="20" t="s">
        <v>252</v>
      </c>
      <c r="B12" s="20" t="s">
        <v>253</v>
      </c>
      <c r="C12" s="34">
        <v>175.8</v>
      </c>
      <c r="D12" s="27">
        <v>121.7</v>
      </c>
      <c r="E12" s="11">
        <f t="shared" si="0"/>
        <v>21394.86</v>
      </c>
      <c r="F12" s="12">
        <v>300</v>
      </c>
      <c r="G12" s="11">
        <f t="shared" si="1"/>
        <v>21694.86</v>
      </c>
      <c r="H12" s="12">
        <v>4110</v>
      </c>
      <c r="I12" s="12">
        <v>750</v>
      </c>
      <c r="J12" s="48">
        <f t="shared" si="2"/>
        <v>5.2785547445255476</v>
      </c>
      <c r="K12" s="48">
        <f t="shared" si="3"/>
        <v>28.926480000000002</v>
      </c>
    </row>
    <row r="13" spans="1:12" ht="15" customHeight="1" x14ac:dyDescent="0.3">
      <c r="A13" s="20" t="s">
        <v>254</v>
      </c>
      <c r="B13" s="20" t="s">
        <v>255</v>
      </c>
      <c r="C13" s="34">
        <v>10.23</v>
      </c>
      <c r="D13" s="27">
        <v>2590</v>
      </c>
      <c r="E13" s="11">
        <f t="shared" si="0"/>
        <v>26495.7</v>
      </c>
      <c r="F13" s="12">
        <v>-800</v>
      </c>
      <c r="G13" s="11">
        <f t="shared" si="1"/>
        <v>25695.7</v>
      </c>
      <c r="H13" s="12">
        <v>9500</v>
      </c>
      <c r="I13" s="12">
        <v>1900</v>
      </c>
      <c r="J13" s="48">
        <f t="shared" si="2"/>
        <v>2.7048105263157893</v>
      </c>
      <c r="K13" s="48">
        <f t="shared" si="3"/>
        <v>13.524052631578948</v>
      </c>
    </row>
    <row r="14" spans="1:12" ht="15" customHeight="1" x14ac:dyDescent="0.3">
      <c r="A14" s="20" t="s">
        <v>256</v>
      </c>
      <c r="B14" s="20" t="s">
        <v>257</v>
      </c>
      <c r="C14" s="34">
        <v>27.43</v>
      </c>
      <c r="D14" s="27">
        <v>334.2</v>
      </c>
      <c r="E14" s="11">
        <f t="shared" si="0"/>
        <v>9167.1059999999998</v>
      </c>
      <c r="F14" s="12">
        <v>100</v>
      </c>
      <c r="G14" s="11">
        <f t="shared" si="1"/>
        <v>9267.1059999999998</v>
      </c>
      <c r="H14" s="12">
        <v>3960</v>
      </c>
      <c r="I14" s="12">
        <v>715</v>
      </c>
      <c r="J14" s="48">
        <f t="shared" si="2"/>
        <v>2.3401782828282829</v>
      </c>
      <c r="K14" s="48">
        <f t="shared" si="3"/>
        <v>12.960987412587412</v>
      </c>
    </row>
    <row r="15" spans="1:12" ht="15" customHeight="1" x14ac:dyDescent="0.3">
      <c r="A15" s="20" t="s">
        <v>258</v>
      </c>
      <c r="B15" s="20" t="s">
        <v>259</v>
      </c>
      <c r="C15" s="34">
        <v>13.17</v>
      </c>
      <c r="D15" s="27">
        <v>393.1</v>
      </c>
      <c r="E15" s="11">
        <f t="shared" si="0"/>
        <v>5177.1270000000004</v>
      </c>
      <c r="F15" s="12">
        <v>4280</v>
      </c>
      <c r="G15" s="11">
        <f t="shared" si="1"/>
        <v>9457.1270000000004</v>
      </c>
      <c r="H15" s="12">
        <v>9510</v>
      </c>
      <c r="I15" s="12">
        <v>903</v>
      </c>
      <c r="J15" s="48">
        <f t="shared" si="2"/>
        <v>0.99444027339642482</v>
      </c>
      <c r="K15" s="48">
        <f t="shared" si="3"/>
        <v>10.473008859357696</v>
      </c>
    </row>
    <row r="17" spans="1:11" ht="15" customHeight="1" x14ac:dyDescent="0.3">
      <c r="A17" s="20" t="s">
        <v>260</v>
      </c>
      <c r="J17" s="48">
        <f>MEDIAN(J6:J15)</f>
        <v>1.1866239247311827</v>
      </c>
      <c r="K17" s="48">
        <f>MEDIAN(K6:K15)</f>
        <v>10.347566929678848</v>
      </c>
    </row>
    <row r="18" spans="1:11" ht="15" customHeight="1" x14ac:dyDescent="0.3">
      <c r="A18" s="20" t="s">
        <v>261</v>
      </c>
      <c r="B18" s="7"/>
      <c r="C18" s="7"/>
      <c r="D18" s="7"/>
      <c r="E18" s="7"/>
      <c r="F18" s="7"/>
      <c r="G18" s="7"/>
      <c r="H18" s="7"/>
      <c r="J18" s="48">
        <f>AVERAGE(J6:J15)</f>
        <v>1.8416039593858748</v>
      </c>
      <c r="K18" s="48">
        <f>AVERAGE(K6:K15)</f>
        <v>11.795374812827657</v>
      </c>
    </row>
    <row r="19" spans="1:11" ht="15" customHeight="1" x14ac:dyDescent="0.3">
      <c r="A19" s="20" t="s">
        <v>262</v>
      </c>
      <c r="C19" s="49"/>
      <c r="D19" s="49"/>
      <c r="E19" s="49"/>
      <c r="F19" s="49"/>
      <c r="G19" s="49"/>
      <c r="J19" s="48">
        <f>MIN(J6:J15)</f>
        <v>0.52685328185328184</v>
      </c>
      <c r="K19" s="48">
        <f>MIN(K6:K15)</f>
        <v>5.2787384615384623</v>
      </c>
    </row>
    <row r="20" spans="1:11" ht="15" customHeight="1" x14ac:dyDescent="0.3">
      <c r="A20" s="20" t="s">
        <v>263</v>
      </c>
      <c r="D20" s="11"/>
      <c r="J20" s="48">
        <f>MAX(J6:J15)</f>
        <v>5.2785547445255476</v>
      </c>
      <c r="K20" s="48">
        <f>MAX(K6:K15)</f>
        <v>28.926480000000002</v>
      </c>
    </row>
    <row r="21" spans="1:11" ht="15" customHeight="1" x14ac:dyDescent="0.3">
      <c r="A21" s="8"/>
      <c r="D21" s="11"/>
    </row>
    <row r="23" spans="1:11" ht="15" customHeight="1" x14ac:dyDescent="0.3">
      <c r="A23" s="20" t="s">
        <v>264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 customHeight="1" x14ac:dyDescent="0.3">
      <c r="A24" s="8"/>
      <c r="C24" s="49" t="s">
        <v>265</v>
      </c>
      <c r="D24" s="49" t="s">
        <v>266</v>
      </c>
      <c r="E24" s="49" t="s">
        <v>267</v>
      </c>
      <c r="F24" s="49" t="s">
        <v>268</v>
      </c>
      <c r="G24" s="49" t="s">
        <v>269</v>
      </c>
    </row>
    <row r="25" spans="1:11" ht="15" customHeight="1" x14ac:dyDescent="0.3">
      <c r="A25" s="20" t="s">
        <v>270</v>
      </c>
      <c r="C25" s="48"/>
      <c r="D25" s="11">
        <f>IS!D7</f>
        <v>51362</v>
      </c>
      <c r="E25" s="11"/>
      <c r="F25" s="11"/>
      <c r="G25" s="50"/>
    </row>
    <row r="26" spans="1:11" ht="15" customHeight="1" x14ac:dyDescent="0.3">
      <c r="A26" s="20" t="s">
        <v>271</v>
      </c>
      <c r="C26" s="48"/>
      <c r="D26" s="11">
        <f>IS!D25</f>
        <v>7291.1109999999999</v>
      </c>
      <c r="E26" s="11"/>
      <c r="F26" s="11"/>
      <c r="G26" s="50"/>
    </row>
    <row r="27" spans="1:11" ht="15" customHeight="1" x14ac:dyDescent="0.3">
      <c r="A27" s="8"/>
      <c r="C27" s="48"/>
      <c r="D27" s="11"/>
      <c r="E27" s="11"/>
      <c r="F27" s="11"/>
      <c r="G27" s="50"/>
    </row>
    <row r="28" spans="1:11" ht="15" customHeight="1" x14ac:dyDescent="0.3">
      <c r="A28" s="20" t="s">
        <v>272</v>
      </c>
      <c r="C28" s="48">
        <f>J17</f>
        <v>1.1866239247311827</v>
      </c>
      <c r="D28" s="11">
        <f>D25</f>
        <v>51362</v>
      </c>
      <c r="E28" s="20">
        <f t="shared" ref="E28:E33" si="4">C28*D28</f>
        <v>60947.378022043005</v>
      </c>
      <c r="F28" s="20">
        <f>E28-WACC!C10</f>
        <v>63588.378022043005</v>
      </c>
      <c r="G28" s="20">
        <f>F28/WACC!C6</f>
        <v>41.623602816026057</v>
      </c>
    </row>
    <row r="29" spans="1:11" ht="15" customHeight="1" x14ac:dyDescent="0.3">
      <c r="A29" s="20" t="s">
        <v>273</v>
      </c>
      <c r="C29" s="48">
        <f>K17</f>
        <v>10.347566929678848</v>
      </c>
      <c r="D29" s="11">
        <f>D26</f>
        <v>7291.1109999999999</v>
      </c>
      <c r="E29" s="20">
        <f t="shared" si="4"/>
        <v>75445.25906421768</v>
      </c>
      <c r="F29" s="20">
        <f>E29-WACC!C10</f>
        <v>78086.25906421768</v>
      </c>
      <c r="G29" s="20">
        <f>F29/WACC!C6</f>
        <v>51.113608080262928</v>
      </c>
    </row>
    <row r="30" spans="1:11" ht="15" customHeight="1" x14ac:dyDescent="0.3">
      <c r="A30" s="20" t="s">
        <v>274</v>
      </c>
      <c r="C30" s="48">
        <f>J19</f>
        <v>0.52685328185328184</v>
      </c>
      <c r="D30" s="11">
        <f>D25</f>
        <v>51362</v>
      </c>
      <c r="E30" s="20">
        <f t="shared" si="4"/>
        <v>27060.238262548261</v>
      </c>
      <c r="F30" s="20">
        <f>E30-WACC!C10</f>
        <v>29701.238262548261</v>
      </c>
      <c r="G30" s="20">
        <f>F30/WACC!C6</f>
        <v>19.441800263499548</v>
      </c>
    </row>
    <row r="31" spans="1:11" ht="15" customHeight="1" x14ac:dyDescent="0.3">
      <c r="A31" s="20" t="s">
        <v>275</v>
      </c>
      <c r="C31" s="48">
        <f>K19</f>
        <v>5.2787384615384623</v>
      </c>
      <c r="D31" s="11">
        <f>D26</f>
        <v>7291.1109999999999</v>
      </c>
      <c r="E31" s="20">
        <f t="shared" si="4"/>
        <v>38487.86806304616</v>
      </c>
      <c r="F31" s="20">
        <f>E31-WACC!C10</f>
        <v>41128.86806304616</v>
      </c>
      <c r="G31" s="20">
        <f>F31/WACC!C6</f>
        <v>26.922084220099599</v>
      </c>
    </row>
    <row r="32" spans="1:11" ht="15" customHeight="1" x14ac:dyDescent="0.3">
      <c r="A32" s="20" t="s">
        <v>276</v>
      </c>
      <c r="C32" s="48">
        <f>J20</f>
        <v>5.2785547445255476</v>
      </c>
      <c r="D32" s="11">
        <f>D25</f>
        <v>51362</v>
      </c>
      <c r="E32" s="20">
        <f t="shared" si="4"/>
        <v>271117.12878832116</v>
      </c>
      <c r="F32" s="20">
        <f>E32-WACC!C10</f>
        <v>273758.12878832116</v>
      </c>
      <c r="G32" s="20">
        <f>F32/WACC!C6</f>
        <v>179.19626156203518</v>
      </c>
    </row>
    <row r="33" spans="1:7" ht="15" customHeight="1" x14ac:dyDescent="0.3">
      <c r="A33" s="20" t="s">
        <v>277</v>
      </c>
      <c r="C33" s="48">
        <f>K20</f>
        <v>28.926480000000002</v>
      </c>
      <c r="D33" s="11">
        <f>D26</f>
        <v>7291.1109999999999</v>
      </c>
      <c r="E33" s="20">
        <f t="shared" si="4"/>
        <v>210906.17651928001</v>
      </c>
      <c r="F33" s="20">
        <f>E33-WACC!C10</f>
        <v>213547.17651928001</v>
      </c>
      <c r="G33" s="20">
        <f>F33/WACC!C6</f>
        <v>139.78344997007267</v>
      </c>
    </row>
    <row r="34" spans="1:7" ht="15" customHeight="1" x14ac:dyDescent="0.3">
      <c r="A34" s="15"/>
    </row>
    <row r="35" spans="1:7" ht="15" customHeight="1" x14ac:dyDescent="0.3">
      <c r="A35" s="15"/>
    </row>
    <row r="36" spans="1:7" ht="15" customHeight="1" x14ac:dyDescent="0.3">
      <c r="A36" s="20"/>
    </row>
    <row r="37" spans="1:7" ht="15" customHeight="1" x14ac:dyDescent="0.3">
      <c r="A37" s="20"/>
    </row>
    <row r="38" spans="1:7" ht="15" customHeight="1" x14ac:dyDescent="0.3">
      <c r="A38" s="20"/>
    </row>
    <row r="39" spans="1:7" ht="15" customHeight="1" x14ac:dyDescent="0.3">
      <c r="A39" s="20"/>
    </row>
    <row r="40" spans="1:7" ht="15" customHeight="1" x14ac:dyDescent="0.3">
      <c r="A40" s="20"/>
    </row>
    <row r="41" spans="1:7" ht="15" customHeight="1" x14ac:dyDescent="0.3">
      <c r="A41" s="20"/>
    </row>
    <row r="42" spans="1:7" ht="15" customHeight="1" x14ac:dyDescent="0.3">
      <c r="A42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9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16" width="13" customWidth="1"/>
  </cols>
  <sheetData>
    <row r="1" spans="1:14" ht="21.75" customHeight="1" x14ac:dyDescent="0.3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3">
      <c r="A2" s="3"/>
    </row>
    <row r="4" spans="1:14" ht="15" customHeight="1" x14ac:dyDescent="0.3">
      <c r="A4" s="6" t="s">
        <v>279</v>
      </c>
      <c r="B4" s="6"/>
      <c r="C4" s="6"/>
      <c r="D4" s="6"/>
      <c r="E4" s="6"/>
      <c r="F4" s="6"/>
      <c r="G4" s="6"/>
      <c r="H4" s="6"/>
    </row>
    <row r="5" spans="1:14" ht="15" customHeight="1" x14ac:dyDescent="0.3">
      <c r="A5" s="16" t="s">
        <v>280</v>
      </c>
      <c r="C5" s="27">
        <v>1509</v>
      </c>
    </row>
    <row r="6" spans="1:14" ht="15" customHeight="1" x14ac:dyDescent="0.3">
      <c r="A6" s="16" t="s">
        <v>281</v>
      </c>
      <c r="C6" s="21">
        <f>WACC!C5</f>
        <v>75</v>
      </c>
    </row>
    <row r="7" spans="1:14" ht="15" customHeight="1" x14ac:dyDescent="0.3">
      <c r="A7" s="16" t="s">
        <v>282</v>
      </c>
      <c r="C7" s="27">
        <v>2</v>
      </c>
    </row>
    <row r="8" spans="1:14" ht="15" customHeight="1" x14ac:dyDescent="0.3">
      <c r="A8" s="16" t="s">
        <v>283</v>
      </c>
      <c r="C8" s="34">
        <v>70</v>
      </c>
    </row>
    <row r="9" spans="1:14" ht="15" customHeight="1" x14ac:dyDescent="0.3">
      <c r="A9" s="16" t="s">
        <v>284</v>
      </c>
      <c r="C9" s="11">
        <f>C7*C8</f>
        <v>140</v>
      </c>
    </row>
    <row r="10" spans="1:14" ht="15" customHeight="1" x14ac:dyDescent="0.3">
      <c r="A10" s="16" t="s">
        <v>285</v>
      </c>
      <c r="C10" s="42">
        <f>C9/C6</f>
        <v>1.8666666666666667</v>
      </c>
    </row>
    <row r="11" spans="1:14" ht="15" customHeight="1" x14ac:dyDescent="0.3">
      <c r="A11" s="16" t="s">
        <v>286</v>
      </c>
      <c r="C11" s="42">
        <f>C7-C10</f>
        <v>0.1333333333333333</v>
      </c>
    </row>
    <row r="13" spans="1:14" ht="15" customHeight="1" x14ac:dyDescent="0.3">
      <c r="A13" s="16" t="s">
        <v>287</v>
      </c>
      <c r="C13" s="27">
        <v>17</v>
      </c>
    </row>
    <row r="14" spans="1:14" ht="15" customHeight="1" x14ac:dyDescent="0.3">
      <c r="A14" s="16" t="s">
        <v>288</v>
      </c>
      <c r="C14" s="12">
        <v>600</v>
      </c>
    </row>
    <row r="15" spans="1:14" ht="15" customHeight="1" x14ac:dyDescent="0.3">
      <c r="A15" s="16" t="s">
        <v>289</v>
      </c>
      <c r="C15" s="42">
        <f>C14/C6</f>
        <v>8</v>
      </c>
    </row>
    <row r="16" spans="1:14" ht="15" customHeight="1" x14ac:dyDescent="0.3">
      <c r="A16" s="16" t="s">
        <v>290</v>
      </c>
      <c r="C16" s="42">
        <f>C13-C15</f>
        <v>9</v>
      </c>
    </row>
    <row r="18" spans="1:16" ht="15" customHeight="1" x14ac:dyDescent="0.3">
      <c r="A18" s="4" t="s">
        <v>291</v>
      </c>
      <c r="C18" s="51">
        <f>C5+C11+C16</f>
        <v>1518.1333333333334</v>
      </c>
    </row>
    <row r="19" spans="1:16" ht="15" customHeight="1" x14ac:dyDescent="0.3">
      <c r="A19" s="16" t="s">
        <v>292</v>
      </c>
      <c r="C19" s="42">
        <f>WACC!C6</f>
        <v>1527.7</v>
      </c>
    </row>
    <row r="20" spans="1:16" ht="15" customHeight="1" x14ac:dyDescent="0.3">
      <c r="A20" s="16" t="s">
        <v>293</v>
      </c>
      <c r="C20" s="42">
        <f>C18-C19</f>
        <v>-9.566666666666606</v>
      </c>
    </row>
    <row r="22" spans="1:16" ht="15" customHeight="1" x14ac:dyDescent="0.3">
      <c r="A22" s="6" t="s">
        <v>294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6" ht="30" customHeight="1" x14ac:dyDescent="0.3">
      <c r="A23" s="52" t="s">
        <v>230</v>
      </c>
      <c r="B23" s="52" t="s">
        <v>231</v>
      </c>
      <c r="C23" s="52" t="s">
        <v>295</v>
      </c>
      <c r="D23" s="52" t="s">
        <v>296</v>
      </c>
      <c r="E23" s="52" t="s">
        <v>297</v>
      </c>
      <c r="F23" s="52" t="s">
        <v>298</v>
      </c>
      <c r="G23" s="52" t="s">
        <v>299</v>
      </c>
      <c r="H23" s="52" t="s">
        <v>300</v>
      </c>
      <c r="I23" s="52" t="s">
        <v>301</v>
      </c>
      <c r="J23" s="52" t="s">
        <v>302</v>
      </c>
      <c r="K23" s="52" t="s">
        <v>303</v>
      </c>
      <c r="L23" s="52" t="s">
        <v>304</v>
      </c>
      <c r="M23" s="52" t="s">
        <v>305</v>
      </c>
      <c r="N23" s="52" t="s">
        <v>306</v>
      </c>
      <c r="O23" s="4" t="s">
        <v>307</v>
      </c>
      <c r="P23" s="4" t="s">
        <v>308</v>
      </c>
    </row>
    <row r="24" spans="1:16" ht="15" customHeight="1" x14ac:dyDescent="0.3">
      <c r="A24" s="16" t="s">
        <v>240</v>
      </c>
      <c r="B24" s="16" t="s">
        <v>241</v>
      </c>
      <c r="C24" s="19" t="s">
        <v>309</v>
      </c>
      <c r="D24" s="53">
        <v>0.995</v>
      </c>
      <c r="E24" s="11">
        <f>Comps!H6</f>
        <v>11200</v>
      </c>
      <c r="F24" s="11">
        <f>Comps!I6</f>
        <v>2600</v>
      </c>
      <c r="G24" s="10">
        <v>0.09</v>
      </c>
      <c r="H24" s="11">
        <f t="shared" ref="H24:H33" si="0">E24*D24</f>
        <v>11144</v>
      </c>
      <c r="I24" s="11">
        <f t="shared" ref="I24:I33" si="1">F24*D24</f>
        <v>2587</v>
      </c>
      <c r="J24" s="11">
        <f t="shared" ref="J24:J33" si="2">H24*(1+G24)</f>
        <v>12146.960000000001</v>
      </c>
      <c r="K24" s="11">
        <f t="shared" ref="K24:K33" si="3">I24*(1+G24)</f>
        <v>2819.8300000000004</v>
      </c>
      <c r="L24" s="11">
        <f>Comps!G6</f>
        <v>13724.720000000001</v>
      </c>
      <c r="M24" s="54">
        <f t="shared" ref="M24:M33" si="4">L24/H24</f>
        <v>1.2315793251974159</v>
      </c>
      <c r="N24" s="54">
        <f t="shared" ref="N24:N33" si="5">L24/I24</f>
        <v>5.3052647854657913</v>
      </c>
      <c r="O24" s="54">
        <f t="shared" ref="O24:O33" si="6">L24/J24</f>
        <v>1.129889289171941</v>
      </c>
      <c r="P24" s="54">
        <f t="shared" ref="P24:P33" si="7">L24/K24</f>
        <v>4.8672153995098997</v>
      </c>
    </row>
    <row r="25" spans="1:16" ht="15" customHeight="1" x14ac:dyDescent="0.3">
      <c r="A25" s="16" t="s">
        <v>242</v>
      </c>
      <c r="B25" s="16" t="s">
        <v>243</v>
      </c>
      <c r="C25" s="19" t="s">
        <v>310</v>
      </c>
      <c r="D25" s="53">
        <v>0.98499999999999999</v>
      </c>
      <c r="E25" s="11">
        <f>Comps!H7</f>
        <v>5350</v>
      </c>
      <c r="F25" s="11">
        <f>Comps!I7</f>
        <v>1360</v>
      </c>
      <c r="G25" s="10">
        <v>0.12</v>
      </c>
      <c r="H25" s="11">
        <f t="shared" si="0"/>
        <v>5269.75</v>
      </c>
      <c r="I25" s="11">
        <f t="shared" si="1"/>
        <v>1339.6</v>
      </c>
      <c r="J25" s="11">
        <f t="shared" si="2"/>
        <v>5902.1200000000008</v>
      </c>
      <c r="K25" s="11">
        <f t="shared" si="3"/>
        <v>1500.3520000000001</v>
      </c>
      <c r="L25" s="11">
        <f>Comps!G7</f>
        <v>12704.8</v>
      </c>
      <c r="M25" s="54">
        <f t="shared" si="4"/>
        <v>2.4108923573224534</v>
      </c>
      <c r="N25" s="54">
        <f t="shared" si="5"/>
        <v>9.4840250821140639</v>
      </c>
      <c r="O25" s="54">
        <f t="shared" si="6"/>
        <v>2.1525824618950473</v>
      </c>
      <c r="P25" s="54">
        <f t="shared" si="7"/>
        <v>8.4678795376018421</v>
      </c>
    </row>
    <row r="26" spans="1:16" ht="15" customHeight="1" x14ac:dyDescent="0.3">
      <c r="A26" s="16" t="s">
        <v>244</v>
      </c>
      <c r="B26" s="16" t="s">
        <v>245</v>
      </c>
      <c r="C26" s="19" t="s">
        <v>311</v>
      </c>
      <c r="D26" s="53">
        <v>1</v>
      </c>
      <c r="E26" s="11">
        <f>Comps!H8</f>
        <v>9410</v>
      </c>
      <c r="F26" s="11">
        <f>Comps!I8</f>
        <v>1180</v>
      </c>
      <c r="G26" s="10">
        <v>0.05</v>
      </c>
      <c r="H26" s="11">
        <f t="shared" si="0"/>
        <v>9410</v>
      </c>
      <c r="I26" s="11">
        <f t="shared" si="1"/>
        <v>1180</v>
      </c>
      <c r="J26" s="11">
        <f t="shared" si="2"/>
        <v>9880.5</v>
      </c>
      <c r="K26" s="11">
        <f t="shared" si="3"/>
        <v>1239</v>
      </c>
      <c r="L26" s="11">
        <f>Comps!G8</f>
        <v>9363.93</v>
      </c>
      <c r="M26" s="54">
        <f t="shared" si="4"/>
        <v>0.99510414452709883</v>
      </c>
      <c r="N26" s="54">
        <f t="shared" si="5"/>
        <v>7.9355338983050849</v>
      </c>
      <c r="O26" s="54">
        <f t="shared" si="6"/>
        <v>0.94771823288295132</v>
      </c>
      <c r="P26" s="54">
        <f t="shared" si="7"/>
        <v>7.5576513317191285</v>
      </c>
    </row>
    <row r="27" spans="1:16" ht="15" customHeight="1" x14ac:dyDescent="0.3">
      <c r="A27" s="16" t="s">
        <v>246</v>
      </c>
      <c r="B27" s="16" t="s">
        <v>247</v>
      </c>
      <c r="C27" s="19" t="s">
        <v>310</v>
      </c>
      <c r="D27" s="53">
        <v>0.98499999999999999</v>
      </c>
      <c r="E27" s="11">
        <f>Comps!H9</f>
        <v>5180</v>
      </c>
      <c r="F27" s="11">
        <f>Comps!I9</f>
        <v>310</v>
      </c>
      <c r="G27" s="10">
        <v>-0.02</v>
      </c>
      <c r="H27" s="11">
        <f t="shared" si="0"/>
        <v>5102.3</v>
      </c>
      <c r="I27" s="11">
        <f t="shared" si="1"/>
        <v>305.35000000000002</v>
      </c>
      <c r="J27" s="11">
        <f t="shared" si="2"/>
        <v>5000.2539999999999</v>
      </c>
      <c r="K27" s="11">
        <f t="shared" si="3"/>
        <v>299.24299999999999</v>
      </c>
      <c r="L27" s="11">
        <f>Comps!G9</f>
        <v>2729.1</v>
      </c>
      <c r="M27" s="54">
        <f t="shared" si="4"/>
        <v>0.53487642827744342</v>
      </c>
      <c r="N27" s="54">
        <f t="shared" si="5"/>
        <v>8.9376125757327642</v>
      </c>
      <c r="O27" s="54">
        <f t="shared" si="6"/>
        <v>0.5457922737524934</v>
      </c>
      <c r="P27" s="54">
        <f t="shared" si="7"/>
        <v>9.1200128323803735</v>
      </c>
    </row>
    <row r="28" spans="1:16" ht="15" customHeight="1" x14ac:dyDescent="0.3">
      <c r="A28" s="16" t="s">
        <v>248</v>
      </c>
      <c r="B28" s="16" t="s">
        <v>249</v>
      </c>
      <c r="C28" s="19" t="s">
        <v>311</v>
      </c>
      <c r="D28" s="53">
        <v>1</v>
      </c>
      <c r="E28" s="11">
        <f>Comps!H10</f>
        <v>26040</v>
      </c>
      <c r="F28" s="11">
        <f>Comps!I10</f>
        <v>2850</v>
      </c>
      <c r="G28" s="10">
        <v>0.08</v>
      </c>
      <c r="H28" s="11">
        <f t="shared" si="0"/>
        <v>26040</v>
      </c>
      <c r="I28" s="11">
        <f t="shared" si="1"/>
        <v>2850</v>
      </c>
      <c r="J28" s="11">
        <f t="shared" si="2"/>
        <v>28123.200000000001</v>
      </c>
      <c r="K28" s="11">
        <f t="shared" si="3"/>
        <v>3078</v>
      </c>
      <c r="L28" s="11">
        <f>Comps!G10</f>
        <v>29889.399999999998</v>
      </c>
      <c r="M28" s="54">
        <f t="shared" si="4"/>
        <v>1.147826420890937</v>
      </c>
      <c r="N28" s="54">
        <f t="shared" si="5"/>
        <v>10.487508771929823</v>
      </c>
      <c r="O28" s="54">
        <f t="shared" si="6"/>
        <v>1.0628022415656824</v>
      </c>
      <c r="P28" s="54">
        <f t="shared" si="7"/>
        <v>9.7106562703053925</v>
      </c>
    </row>
    <row r="29" spans="1:16" ht="15" customHeight="1" x14ac:dyDescent="0.3">
      <c r="A29" s="16" t="s">
        <v>250</v>
      </c>
      <c r="B29" s="16" t="s">
        <v>251</v>
      </c>
      <c r="C29" s="19" t="s">
        <v>311</v>
      </c>
      <c r="D29" s="53">
        <v>1</v>
      </c>
      <c r="E29" s="11">
        <f>Comps!H11</f>
        <v>7900</v>
      </c>
      <c r="F29" s="11">
        <f>Comps!I11</f>
        <v>640</v>
      </c>
      <c r="G29" s="10">
        <v>0.04</v>
      </c>
      <c r="H29" s="11">
        <f t="shared" si="0"/>
        <v>7900</v>
      </c>
      <c r="I29" s="11">
        <f t="shared" si="1"/>
        <v>640</v>
      </c>
      <c r="J29" s="11">
        <f t="shared" si="2"/>
        <v>8216</v>
      </c>
      <c r="K29" s="11">
        <f t="shared" si="3"/>
        <v>665.6</v>
      </c>
      <c r="L29" s="11">
        <f>Comps!G11</f>
        <v>6542.16</v>
      </c>
      <c r="M29" s="54">
        <f t="shared" si="4"/>
        <v>0.82812151898734176</v>
      </c>
      <c r="N29" s="54">
        <f t="shared" si="5"/>
        <v>10.222125</v>
      </c>
      <c r="O29" s="54">
        <f t="shared" si="6"/>
        <v>0.79627069133398243</v>
      </c>
      <c r="P29" s="54">
        <f t="shared" si="7"/>
        <v>9.8289663461538463</v>
      </c>
    </row>
    <row r="30" spans="1:16" ht="15" customHeight="1" x14ac:dyDescent="0.3">
      <c r="A30" s="16" t="s">
        <v>252</v>
      </c>
      <c r="B30" s="16" t="s">
        <v>253</v>
      </c>
      <c r="C30" s="19" t="s">
        <v>311</v>
      </c>
      <c r="D30" s="53">
        <v>1</v>
      </c>
      <c r="E30" s="11">
        <f>Comps!H12</f>
        <v>4110</v>
      </c>
      <c r="F30" s="11">
        <f>Comps!I12</f>
        <v>750</v>
      </c>
      <c r="G30" s="10">
        <v>0.1</v>
      </c>
      <c r="H30" s="11">
        <f t="shared" si="0"/>
        <v>4110</v>
      </c>
      <c r="I30" s="11">
        <f t="shared" si="1"/>
        <v>750</v>
      </c>
      <c r="J30" s="11">
        <f t="shared" si="2"/>
        <v>4521</v>
      </c>
      <c r="K30" s="11">
        <f t="shared" si="3"/>
        <v>825.00000000000011</v>
      </c>
      <c r="L30" s="11">
        <f>Comps!G12</f>
        <v>21694.86</v>
      </c>
      <c r="M30" s="54">
        <f t="shared" si="4"/>
        <v>5.2785547445255476</v>
      </c>
      <c r="N30" s="54">
        <f t="shared" si="5"/>
        <v>28.926480000000002</v>
      </c>
      <c r="O30" s="54">
        <f t="shared" si="6"/>
        <v>4.7986861313868614</v>
      </c>
      <c r="P30" s="54">
        <f t="shared" si="7"/>
        <v>26.296799999999998</v>
      </c>
    </row>
    <row r="31" spans="1:16" ht="15" customHeight="1" x14ac:dyDescent="0.3">
      <c r="A31" s="16" t="s">
        <v>254</v>
      </c>
      <c r="B31" s="16" t="s">
        <v>255</v>
      </c>
      <c r="C31" s="19" t="s">
        <v>311</v>
      </c>
      <c r="D31" s="53">
        <v>1</v>
      </c>
      <c r="E31" s="11">
        <f>Comps!H13</f>
        <v>9500</v>
      </c>
      <c r="F31" s="11">
        <f>Comps!I13</f>
        <v>1900</v>
      </c>
      <c r="G31" s="10">
        <v>0.11</v>
      </c>
      <c r="H31" s="11">
        <f t="shared" si="0"/>
        <v>9500</v>
      </c>
      <c r="I31" s="11">
        <f t="shared" si="1"/>
        <v>1900</v>
      </c>
      <c r="J31" s="11">
        <f t="shared" si="2"/>
        <v>10545.000000000002</v>
      </c>
      <c r="K31" s="11">
        <f t="shared" si="3"/>
        <v>2109</v>
      </c>
      <c r="L31" s="11">
        <f>Comps!G13</f>
        <v>25695.7</v>
      </c>
      <c r="M31" s="54">
        <f t="shared" si="4"/>
        <v>2.7048105263157893</v>
      </c>
      <c r="N31" s="54">
        <f t="shared" si="5"/>
        <v>13.524052631578948</v>
      </c>
      <c r="O31" s="54">
        <f t="shared" si="6"/>
        <v>2.4367662399241343</v>
      </c>
      <c r="P31" s="54">
        <f t="shared" si="7"/>
        <v>12.183831199620673</v>
      </c>
    </row>
    <row r="32" spans="1:16" ht="15" customHeight="1" x14ac:dyDescent="0.3">
      <c r="A32" s="16" t="s">
        <v>256</v>
      </c>
      <c r="B32" s="16" t="s">
        <v>257</v>
      </c>
      <c r="C32" s="19" t="s">
        <v>311</v>
      </c>
      <c r="D32" s="53">
        <v>1</v>
      </c>
      <c r="E32" s="11">
        <f>Comps!H14</f>
        <v>3960</v>
      </c>
      <c r="F32" s="11">
        <f>Comps!I14</f>
        <v>715</v>
      </c>
      <c r="G32" s="10">
        <v>0.27</v>
      </c>
      <c r="H32" s="11">
        <f t="shared" si="0"/>
        <v>3960</v>
      </c>
      <c r="I32" s="11">
        <f t="shared" si="1"/>
        <v>715</v>
      </c>
      <c r="J32" s="11">
        <f t="shared" si="2"/>
        <v>5029.2</v>
      </c>
      <c r="K32" s="11">
        <f t="shared" si="3"/>
        <v>908.05000000000007</v>
      </c>
      <c r="L32" s="11">
        <f>Comps!G14</f>
        <v>9267.1059999999998</v>
      </c>
      <c r="M32" s="54">
        <f t="shared" si="4"/>
        <v>2.3401782828282829</v>
      </c>
      <c r="N32" s="54">
        <f t="shared" si="5"/>
        <v>12.960987412587412</v>
      </c>
      <c r="O32" s="54">
        <f t="shared" si="6"/>
        <v>1.8426600652191203</v>
      </c>
      <c r="P32" s="54">
        <f t="shared" si="7"/>
        <v>10.205501899675127</v>
      </c>
    </row>
    <row r="33" spans="1:16" ht="15" customHeight="1" x14ac:dyDescent="0.3">
      <c r="A33" s="16" t="s">
        <v>258</v>
      </c>
      <c r="B33" s="16" t="s">
        <v>259</v>
      </c>
      <c r="C33" s="19" t="s">
        <v>310</v>
      </c>
      <c r="D33" s="53">
        <v>0.98499999999999999</v>
      </c>
      <c r="E33" s="11">
        <f>Comps!H15</f>
        <v>9510</v>
      </c>
      <c r="F33" s="11">
        <f>Comps!I15</f>
        <v>903</v>
      </c>
      <c r="G33" s="10">
        <v>0.02</v>
      </c>
      <c r="H33" s="11">
        <f t="shared" si="0"/>
        <v>9367.35</v>
      </c>
      <c r="I33" s="11">
        <f t="shared" si="1"/>
        <v>889.45500000000004</v>
      </c>
      <c r="J33" s="11">
        <f t="shared" si="2"/>
        <v>9554.6970000000001</v>
      </c>
      <c r="K33" s="11">
        <f t="shared" si="3"/>
        <v>907.2441</v>
      </c>
      <c r="L33" s="11">
        <f>Comps!G15</f>
        <v>9457.1270000000004</v>
      </c>
      <c r="M33" s="54">
        <f t="shared" si="4"/>
        <v>1.0095840339049997</v>
      </c>
      <c r="N33" s="54">
        <f t="shared" si="5"/>
        <v>10.632496303916444</v>
      </c>
      <c r="O33" s="54">
        <f t="shared" si="6"/>
        <v>0.98978826853431356</v>
      </c>
      <c r="P33" s="54">
        <f t="shared" si="7"/>
        <v>10.424015984231808</v>
      </c>
    </row>
    <row r="34" spans="1:16" ht="15" customHeight="1" x14ac:dyDescent="0.3">
      <c r="A34" s="4" t="s">
        <v>260</v>
      </c>
      <c r="M34" s="55">
        <f>MEDIAN(M24:M33)</f>
        <v>1.1897028730441765</v>
      </c>
      <c r="N34" s="55">
        <f>MEDIAN(N24:N33)</f>
        <v>10.354816885964912</v>
      </c>
      <c r="O34" s="55">
        <f>MEDIAN(O24:O33)</f>
        <v>1.0963457653688118</v>
      </c>
      <c r="P34" s="55">
        <f>MEDIAN(P24:P33)</f>
        <v>9.7698113082296203</v>
      </c>
    </row>
    <row r="35" spans="1:16" ht="15" customHeight="1" x14ac:dyDescent="0.3">
      <c r="A35" s="4" t="s">
        <v>261</v>
      </c>
      <c r="M35" s="55">
        <f>AVERAGE(M24:M33)</f>
        <v>1.8481527782777309</v>
      </c>
      <c r="N35" s="55">
        <f>AVERAGE(N24:N33)</f>
        <v>11.841608646163035</v>
      </c>
      <c r="O35" s="55">
        <f>AVERAGE(O24:O33)</f>
        <v>1.6702955895666527</v>
      </c>
      <c r="P35" s="55">
        <f>AVERAGE(P24:P33)</f>
        <v>10.86625308011981</v>
      </c>
    </row>
    <row r="36" spans="1:16" ht="15" customHeight="1" x14ac:dyDescent="0.3">
      <c r="A36" s="4" t="s">
        <v>262</v>
      </c>
      <c r="M36" s="55">
        <f>MIN(M24:M33)</f>
        <v>0.53487642827744342</v>
      </c>
      <c r="N36" s="55">
        <f>MIN(N24:N33)</f>
        <v>5.3052647854657913</v>
      </c>
      <c r="O36" s="55">
        <f>MIN(O24:O33)</f>
        <v>0.5457922737524934</v>
      </c>
      <c r="P36" s="55">
        <f>MIN(P24:P33)</f>
        <v>4.8672153995098997</v>
      </c>
    </row>
    <row r="37" spans="1:16" ht="15" customHeight="1" x14ac:dyDescent="0.3">
      <c r="A37" s="4" t="s">
        <v>263</v>
      </c>
      <c r="M37" s="55">
        <f>MAX(M24:M33)</f>
        <v>5.2785547445255476</v>
      </c>
      <c r="N37" s="55">
        <f>MAX(N24:N33)</f>
        <v>28.926480000000002</v>
      </c>
      <c r="O37" s="55">
        <f>MAX(O24:O33)</f>
        <v>4.7986861313868614</v>
      </c>
      <c r="P37" s="55">
        <f>MAX(P24:P33)</f>
        <v>26.296799999999998</v>
      </c>
    </row>
    <row r="39" spans="1:16" ht="15" customHeight="1" x14ac:dyDescent="0.3">
      <c r="A39" s="6" t="s">
        <v>312</v>
      </c>
      <c r="B39" s="6"/>
      <c r="C39" s="6"/>
      <c r="D39" s="6"/>
      <c r="E39" s="6"/>
      <c r="F39" s="6"/>
      <c r="G39" s="6"/>
      <c r="H39" s="6"/>
    </row>
    <row r="40" spans="1:16" ht="15" customHeight="1" x14ac:dyDescent="0.3">
      <c r="A40" s="4" t="s">
        <v>313</v>
      </c>
      <c r="B40" s="4" t="s">
        <v>314</v>
      </c>
      <c r="C40" s="4" t="s">
        <v>315</v>
      </c>
      <c r="D40" s="4" t="s">
        <v>316</v>
      </c>
      <c r="E40" s="4" t="s">
        <v>317</v>
      </c>
      <c r="F40" s="4" t="s">
        <v>318</v>
      </c>
    </row>
    <row r="41" spans="1:16" ht="15" customHeight="1" x14ac:dyDescent="0.3">
      <c r="A41" s="16" t="s">
        <v>319</v>
      </c>
      <c r="B41" s="9">
        <f>IS!E7/IS!D7-1</f>
        <v>4.9999999999998934E-3</v>
      </c>
      <c r="C41" s="9">
        <f>AVERAGE(G24:G33)</f>
        <v>8.5999999999999993E-2</v>
      </c>
      <c r="D41" s="42">
        <f>(B41-C41)*100</f>
        <v>-8.1000000000000103</v>
      </c>
      <c r="E41" s="10">
        <v>0.02</v>
      </c>
      <c r="F41" s="9">
        <f>D41*E41</f>
        <v>-0.1620000000000002</v>
      </c>
    </row>
    <row r="42" spans="1:16" ht="15" customHeight="1" x14ac:dyDescent="0.3">
      <c r="A42" s="16" t="s">
        <v>320</v>
      </c>
      <c r="B42" s="9">
        <f>IS!E25/IS!E7</f>
        <v>0.14249999999999999</v>
      </c>
      <c r="C42" s="9">
        <f>AVERAGE(K24:K33)/AVERAGE(J24:J33)</f>
        <v>0.14508162345587824</v>
      </c>
      <c r="D42" s="42">
        <f>(B42-C42)*100</f>
        <v>-0.25816234558782569</v>
      </c>
      <c r="E42" s="10">
        <v>0.03</v>
      </c>
      <c r="F42" s="9">
        <f>D42*E42</f>
        <v>-7.7448703676347708E-3</v>
      </c>
    </row>
    <row r="43" spans="1:16" ht="15" customHeight="1" x14ac:dyDescent="0.3">
      <c r="A43" s="4" t="s">
        <v>321</v>
      </c>
      <c r="F43" s="44">
        <f>F41+F42</f>
        <v>-0.16974487036763497</v>
      </c>
    </row>
    <row r="45" spans="1:16" ht="15" customHeight="1" x14ac:dyDescent="0.3">
      <c r="A45" s="6" t="s">
        <v>322</v>
      </c>
      <c r="B45" s="6"/>
      <c r="C45" s="6"/>
      <c r="D45" s="6"/>
      <c r="E45" s="6"/>
      <c r="F45" s="6"/>
      <c r="G45" s="6"/>
      <c r="H45" s="6"/>
    </row>
    <row r="46" spans="1:16" ht="15" customHeight="1" x14ac:dyDescent="0.3">
      <c r="A46" s="4" t="s">
        <v>323</v>
      </c>
      <c r="B46" s="4" t="s">
        <v>324</v>
      </c>
      <c r="C46" s="4" t="s">
        <v>325</v>
      </c>
      <c r="D46" s="4" t="s">
        <v>326</v>
      </c>
    </row>
    <row r="47" spans="1:16" ht="15" customHeight="1" x14ac:dyDescent="0.3">
      <c r="A47" s="16" t="s">
        <v>327</v>
      </c>
      <c r="B47" s="18" t="s">
        <v>328</v>
      </c>
      <c r="C47" s="54">
        <f>MEDIAN(O24,O25,O30,O32)</f>
        <v>1.9976212635570838</v>
      </c>
      <c r="D47" s="54">
        <f>MEDIAN(P24,P25,P30,P32)</f>
        <v>9.3366907186384847</v>
      </c>
    </row>
    <row r="48" spans="1:16" ht="15" customHeight="1" x14ac:dyDescent="0.3">
      <c r="A48" s="16" t="s">
        <v>329</v>
      </c>
      <c r="B48" s="18" t="s">
        <v>330</v>
      </c>
      <c r="C48" s="54">
        <f>MEDIAN(O28,O29,O31,O26)</f>
        <v>1.0052602372243169</v>
      </c>
      <c r="D48" s="54">
        <f>MEDIAN(P28,P29,P31,P26)</f>
        <v>9.7698113082296203</v>
      </c>
    </row>
    <row r="49" spans="1:8" ht="15" customHeight="1" x14ac:dyDescent="0.3">
      <c r="A49" s="16" t="s">
        <v>331</v>
      </c>
      <c r="B49" s="18" t="s">
        <v>332</v>
      </c>
      <c r="C49" s="54">
        <f>MEDIAN(O27,O33)</f>
        <v>0.76779027114340348</v>
      </c>
      <c r="D49" s="54">
        <f>MEDIAN(P27,P33)</f>
        <v>9.7720144083060916</v>
      </c>
    </row>
    <row r="50" spans="1:8" ht="15" customHeight="1" x14ac:dyDescent="0.3">
      <c r="A50" s="56" t="s">
        <v>333</v>
      </c>
    </row>
    <row r="52" spans="1:8" ht="15" customHeight="1" x14ac:dyDescent="0.3">
      <c r="A52" s="6" t="s">
        <v>334</v>
      </c>
      <c r="B52" s="6"/>
      <c r="C52" s="6"/>
      <c r="D52" s="6"/>
      <c r="E52" s="6"/>
      <c r="F52" s="6"/>
      <c r="G52" s="6"/>
      <c r="H52" s="6"/>
    </row>
    <row r="53" spans="1:8" ht="15" customHeight="1" x14ac:dyDescent="0.3">
      <c r="A53" s="4" t="s">
        <v>335</v>
      </c>
      <c r="B53" s="4" t="s">
        <v>265</v>
      </c>
      <c r="C53" s="4" t="s">
        <v>336</v>
      </c>
      <c r="D53" s="4" t="s">
        <v>267</v>
      </c>
      <c r="E53" s="4" t="s">
        <v>268</v>
      </c>
      <c r="F53" s="4" t="s">
        <v>337</v>
      </c>
      <c r="G53" s="4" t="s">
        <v>338</v>
      </c>
    </row>
    <row r="54" spans="1:8" ht="15" customHeight="1" x14ac:dyDescent="0.3">
      <c r="A54" s="16" t="s">
        <v>339</v>
      </c>
      <c r="B54" s="54">
        <f>M34</f>
        <v>1.1897028730441765</v>
      </c>
      <c r="C54" s="11">
        <f>IS!D7</f>
        <v>51362</v>
      </c>
      <c r="D54" s="11">
        <f t="shared" ref="D54:D59" si="8">B54*C54</f>
        <v>61105.518965294992</v>
      </c>
      <c r="E54" s="11">
        <f>D54-WACC!C10</f>
        <v>63746.518965294992</v>
      </c>
      <c r="F54" s="21">
        <f>E54/WACC!C6</f>
        <v>41.727118521499634</v>
      </c>
      <c r="G54" s="21">
        <f>E54/C18</f>
        <v>41.990066067074686</v>
      </c>
    </row>
    <row r="55" spans="1:8" ht="15" customHeight="1" x14ac:dyDescent="0.3">
      <c r="A55" s="16" t="s">
        <v>340</v>
      </c>
      <c r="B55" s="54">
        <f>N34</f>
        <v>10.354816885964912</v>
      </c>
      <c r="C55" s="11">
        <f>IS!D25</f>
        <v>7291.1109999999999</v>
      </c>
      <c r="D55" s="11">
        <f t="shared" si="8"/>
        <v>75498.119300244507</v>
      </c>
      <c r="E55" s="11">
        <f>D55-WACC!C10</f>
        <v>78139.119300244507</v>
      </c>
      <c r="F55" s="21">
        <f>E55/WACC!C6</f>
        <v>51.148209268995551</v>
      </c>
      <c r="G55" s="21">
        <f>E55/C18</f>
        <v>51.470524745462299</v>
      </c>
    </row>
    <row r="56" spans="1:8" ht="15" customHeight="1" x14ac:dyDescent="0.3">
      <c r="A56" s="16" t="s">
        <v>341</v>
      </c>
      <c r="B56" s="54">
        <f>O34</f>
        <v>1.0963457653688118</v>
      </c>
      <c r="C56" s="11">
        <f>IS!E7</f>
        <v>51618.81</v>
      </c>
      <c r="D56" s="11">
        <f t="shared" si="8"/>
        <v>56592.063756877273</v>
      </c>
      <c r="E56" s="11">
        <f>D56-WACC!C10</f>
        <v>59233.063756877273</v>
      </c>
      <c r="F56" s="21">
        <f>E56/WACC!C6</f>
        <v>38.772706524106347</v>
      </c>
      <c r="G56" s="21">
        <f>E56/C18</f>
        <v>39.017036551605436</v>
      </c>
    </row>
    <row r="57" spans="1:8" ht="15" customHeight="1" x14ac:dyDescent="0.3">
      <c r="A57" s="16" t="s">
        <v>342</v>
      </c>
      <c r="B57" s="54">
        <f>P34</f>
        <v>9.7698113082296203</v>
      </c>
      <c r="C57" s="11">
        <f>IS!E25</f>
        <v>7355.6804249999996</v>
      </c>
      <c r="D57" s="11">
        <f t="shared" si="8"/>
        <v>71863.60979588826</v>
      </c>
      <c r="E57" s="11">
        <f>D57-WACC!C10</f>
        <v>74504.60979588826</v>
      </c>
      <c r="F57" s="21">
        <f>E57/WACC!C6</f>
        <v>48.769136476983867</v>
      </c>
      <c r="G57" s="21">
        <f>E57/C18</f>
        <v>49.076459992021952</v>
      </c>
    </row>
    <row r="58" spans="1:8" ht="15" customHeight="1" x14ac:dyDescent="0.3">
      <c r="A58" s="16" t="s">
        <v>343</v>
      </c>
      <c r="B58" s="54">
        <f>P34*(1+F43)</f>
        <v>8.1114359541979297</v>
      </c>
      <c r="C58" s="11">
        <f>IS!E25</f>
        <v>7355.6804249999996</v>
      </c>
      <c r="D58" s="11">
        <f t="shared" si="8"/>
        <v>59665.130666934907</v>
      </c>
      <c r="E58" s="11">
        <f>D58-WACC!C10</f>
        <v>62306.130666934907</v>
      </c>
      <c r="F58" s="21">
        <f>E58/WACC!C6</f>
        <v>40.784270908512738</v>
      </c>
      <c r="G58" s="21">
        <f>E58/C18</f>
        <v>41.041277007027205</v>
      </c>
    </row>
    <row r="59" spans="1:8" ht="15" customHeight="1" x14ac:dyDescent="0.3">
      <c r="A59" s="16" t="s">
        <v>344</v>
      </c>
      <c r="B59" s="54">
        <f>O34*(1+F43)</f>
        <v>0.91024669554817728</v>
      </c>
      <c r="C59" s="11">
        <f>IS!E7</f>
        <v>51618.81</v>
      </c>
      <c r="D59" s="11">
        <f t="shared" si="8"/>
        <v>46985.851230629203</v>
      </c>
      <c r="E59" s="11">
        <f>D59-WACC!C10</f>
        <v>49626.851230629203</v>
      </c>
      <c r="F59" s="21">
        <f>E59/WACC!C6</f>
        <v>32.484683662125548</v>
      </c>
      <c r="G59" s="21">
        <f>E59/C18</f>
        <v>32.689389094477342</v>
      </c>
    </row>
    <row r="61" spans="1:8" ht="15" customHeight="1" x14ac:dyDescent="0.3">
      <c r="A61" s="16" t="s">
        <v>76</v>
      </c>
      <c r="B61" s="21">
        <f>WACC!C5</f>
        <v>75</v>
      </c>
    </row>
    <row r="63" spans="1:8" ht="15" customHeight="1" x14ac:dyDescent="0.3">
      <c r="A63" s="6" t="s">
        <v>33</v>
      </c>
      <c r="B63" s="6"/>
      <c r="C63" s="6"/>
      <c r="D63" s="6"/>
      <c r="E63" s="6"/>
      <c r="F63" s="6"/>
      <c r="G63" s="6"/>
      <c r="H63" s="6"/>
    </row>
    <row r="64" spans="1:8" ht="24" customHeight="1" x14ac:dyDescent="0.3">
      <c r="A64" s="18"/>
    </row>
    <row r="65" spans="1:1" ht="24" customHeight="1" x14ac:dyDescent="0.3">
      <c r="A65" s="18"/>
    </row>
    <row r="66" spans="1:1" ht="24" customHeight="1" x14ac:dyDescent="0.3">
      <c r="A66" s="18"/>
    </row>
    <row r="67" spans="1:1" ht="24" customHeight="1" x14ac:dyDescent="0.3">
      <c r="A67" s="18"/>
    </row>
    <row r="68" spans="1:1" ht="24" customHeight="1" x14ac:dyDescent="0.3">
      <c r="A68" s="18"/>
    </row>
    <row r="69" spans="1:1" ht="24" customHeight="1" x14ac:dyDescent="0.3">
      <c r="A69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4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3" width="30" customWidth="1"/>
    <col min="4" max="4" width="14" customWidth="1"/>
    <col min="5" max="6" width="15" customWidth="1"/>
    <col min="7" max="12" width="13" customWidth="1"/>
  </cols>
  <sheetData>
    <row r="1" spans="1:12" ht="21.75" customHeight="1" x14ac:dyDescent="0.3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3"/>
    </row>
    <row r="5" spans="1:12" ht="23.25" customHeight="1" x14ac:dyDescent="0.3">
      <c r="A5" s="47" t="s">
        <v>346</v>
      </c>
      <c r="B5" s="47" t="s">
        <v>347</v>
      </c>
      <c r="C5" s="47" t="s">
        <v>348</v>
      </c>
      <c r="D5" s="47" t="s">
        <v>349</v>
      </c>
      <c r="E5" s="47" t="s">
        <v>350</v>
      </c>
      <c r="F5" s="47" t="s">
        <v>351</v>
      </c>
      <c r="G5" s="47" t="s">
        <v>238</v>
      </c>
      <c r="H5" s="47" t="s">
        <v>239</v>
      </c>
    </row>
    <row r="6" spans="1:12" ht="15" customHeight="1" x14ac:dyDescent="0.3">
      <c r="A6" s="20" t="s">
        <v>352</v>
      </c>
      <c r="B6" s="20" t="s">
        <v>353</v>
      </c>
      <c r="C6" s="20" t="s">
        <v>354</v>
      </c>
      <c r="D6" s="12">
        <v>2500</v>
      </c>
      <c r="E6" s="12">
        <v>1800</v>
      </c>
      <c r="F6" s="12">
        <v>160</v>
      </c>
      <c r="G6" s="48">
        <f t="shared" ref="G6:G13" si="0">D6/E6</f>
        <v>1.3888888888888888</v>
      </c>
      <c r="H6" s="48">
        <f t="shared" ref="H6:H13" si="1">D6/F6</f>
        <v>15.625</v>
      </c>
    </row>
    <row r="7" spans="1:12" ht="15" customHeight="1" x14ac:dyDescent="0.3">
      <c r="A7" s="20" t="s">
        <v>355</v>
      </c>
      <c r="B7" s="20" t="s">
        <v>356</v>
      </c>
      <c r="C7" s="20" t="s">
        <v>357</v>
      </c>
      <c r="D7" s="12">
        <v>5200</v>
      </c>
      <c r="E7" s="12">
        <v>3100</v>
      </c>
      <c r="F7" s="12">
        <v>380</v>
      </c>
      <c r="G7" s="48">
        <f t="shared" si="0"/>
        <v>1.6774193548387097</v>
      </c>
      <c r="H7" s="48">
        <f t="shared" si="1"/>
        <v>13.684210526315789</v>
      </c>
    </row>
    <row r="8" spans="1:12" ht="15" customHeight="1" x14ac:dyDescent="0.3">
      <c r="A8" s="20" t="s">
        <v>358</v>
      </c>
      <c r="B8" s="20" t="s">
        <v>359</v>
      </c>
      <c r="C8" s="20" t="s">
        <v>360</v>
      </c>
      <c r="D8" s="12">
        <v>2100</v>
      </c>
      <c r="E8" s="12">
        <v>500</v>
      </c>
      <c r="F8" s="12">
        <v>140</v>
      </c>
      <c r="G8" s="48">
        <f t="shared" si="0"/>
        <v>4.2</v>
      </c>
      <c r="H8" s="48">
        <f t="shared" si="1"/>
        <v>15</v>
      </c>
    </row>
    <row r="9" spans="1:12" ht="15" customHeight="1" x14ac:dyDescent="0.3">
      <c r="A9" s="20" t="s">
        <v>361</v>
      </c>
      <c r="B9" s="20" t="s">
        <v>362</v>
      </c>
      <c r="C9" s="20" t="s">
        <v>363</v>
      </c>
      <c r="D9" s="12">
        <v>450</v>
      </c>
      <c r="E9" s="12">
        <v>320</v>
      </c>
      <c r="F9" s="12">
        <v>38</v>
      </c>
      <c r="G9" s="48">
        <f t="shared" si="0"/>
        <v>1.40625</v>
      </c>
      <c r="H9" s="48">
        <f t="shared" si="1"/>
        <v>11.842105263157896</v>
      </c>
    </row>
    <row r="10" spans="1:12" ht="15" customHeight="1" x14ac:dyDescent="0.3">
      <c r="A10" s="20" t="s">
        <v>364</v>
      </c>
      <c r="B10" s="20" t="s">
        <v>365</v>
      </c>
      <c r="C10" s="20" t="s">
        <v>366</v>
      </c>
      <c r="D10" s="12">
        <v>3800</v>
      </c>
      <c r="E10" s="12">
        <v>3785</v>
      </c>
      <c r="F10" s="12">
        <v>340</v>
      </c>
      <c r="G10" s="48">
        <f t="shared" si="0"/>
        <v>1.0039630118890357</v>
      </c>
      <c r="H10" s="48">
        <f t="shared" si="1"/>
        <v>11.176470588235293</v>
      </c>
    </row>
    <row r="11" spans="1:12" ht="15" customHeight="1" x14ac:dyDescent="0.3">
      <c r="A11" s="20" t="s">
        <v>367</v>
      </c>
      <c r="B11" s="20" t="s">
        <v>368</v>
      </c>
      <c r="C11" s="20" t="s">
        <v>369</v>
      </c>
      <c r="D11" s="12">
        <v>570</v>
      </c>
      <c r="E11" s="12">
        <v>600</v>
      </c>
      <c r="F11" s="12">
        <v>60</v>
      </c>
      <c r="G11" s="48">
        <f t="shared" si="0"/>
        <v>0.95</v>
      </c>
      <c r="H11" s="48">
        <f t="shared" si="1"/>
        <v>9.5</v>
      </c>
    </row>
    <row r="12" spans="1:12" ht="15" customHeight="1" x14ac:dyDescent="0.3">
      <c r="A12" s="20" t="s">
        <v>367</v>
      </c>
      <c r="B12" s="20" t="s">
        <v>370</v>
      </c>
      <c r="C12" s="20" t="s">
        <v>371</v>
      </c>
      <c r="D12" s="12">
        <v>225</v>
      </c>
      <c r="E12" s="12">
        <v>200</v>
      </c>
      <c r="F12" s="12">
        <v>20</v>
      </c>
      <c r="G12" s="48">
        <f t="shared" si="0"/>
        <v>1.125</v>
      </c>
      <c r="H12" s="48">
        <f t="shared" si="1"/>
        <v>11.25</v>
      </c>
    </row>
    <row r="13" spans="1:12" ht="15" customHeight="1" x14ac:dyDescent="0.3">
      <c r="A13" s="20" t="s">
        <v>372</v>
      </c>
      <c r="B13" s="20" t="s">
        <v>373</v>
      </c>
      <c r="C13" s="20" t="s">
        <v>374</v>
      </c>
      <c r="D13" s="12">
        <v>130</v>
      </c>
      <c r="E13" s="12">
        <v>280</v>
      </c>
      <c r="F13" s="12">
        <v>18</v>
      </c>
      <c r="G13" s="48">
        <f t="shared" si="0"/>
        <v>0.4642857142857143</v>
      </c>
      <c r="H13" s="48">
        <f t="shared" si="1"/>
        <v>7.2222222222222223</v>
      </c>
    </row>
    <row r="14" spans="1:12" ht="15" customHeight="1" x14ac:dyDescent="0.3">
      <c r="A14" s="4"/>
      <c r="G14" s="57"/>
      <c r="H14" s="57"/>
    </row>
    <row r="15" spans="1:12" ht="15" customHeight="1" x14ac:dyDescent="0.3">
      <c r="A15" s="20" t="s">
        <v>50</v>
      </c>
      <c r="G15" s="48">
        <f>MEDIAN(G6:G13)</f>
        <v>1.2569444444444444</v>
      </c>
      <c r="H15" s="48">
        <f>MEDIAN(H6:H13)</f>
        <v>11.546052631578949</v>
      </c>
    </row>
    <row r="16" spans="1:12" ht="15" customHeight="1" x14ac:dyDescent="0.3">
      <c r="A16" s="20" t="s">
        <v>375</v>
      </c>
      <c r="G16" s="48">
        <f>AVERAGE(G6:G13)</f>
        <v>1.5269758712377934</v>
      </c>
      <c r="H16" s="48">
        <f>AVERAGE(H6:H13)</f>
        <v>11.9125010749914</v>
      </c>
    </row>
    <row r="17" spans="1:8" ht="15" customHeight="1" x14ac:dyDescent="0.3">
      <c r="A17" s="20" t="s">
        <v>49</v>
      </c>
      <c r="B17" s="7"/>
      <c r="C17" s="7"/>
      <c r="D17" s="7"/>
      <c r="E17" s="7"/>
      <c r="F17" s="7"/>
      <c r="G17" s="48">
        <f>MIN(G6:G13)</f>
        <v>0.4642857142857143</v>
      </c>
      <c r="H17" s="48">
        <f>MIN(H6:H13)</f>
        <v>7.2222222222222223</v>
      </c>
    </row>
    <row r="18" spans="1:8" ht="15" customHeight="1" x14ac:dyDescent="0.3">
      <c r="A18" s="20" t="s">
        <v>52</v>
      </c>
      <c r="D18" s="49"/>
      <c r="E18" s="49"/>
      <c r="F18" s="49"/>
      <c r="G18" s="48">
        <f>MAX(G6:G13)</f>
        <v>4.2</v>
      </c>
      <c r="H18" s="48">
        <f>MAX(H6:H13)</f>
        <v>15.625</v>
      </c>
    </row>
    <row r="19" spans="1:8" ht="15" customHeight="1" x14ac:dyDescent="0.3">
      <c r="A19" s="8"/>
      <c r="D19" s="48"/>
      <c r="E19" s="11"/>
      <c r="F19" s="11"/>
      <c r="G19" s="50"/>
    </row>
    <row r="20" spans="1:8" ht="15" customHeight="1" x14ac:dyDescent="0.3">
      <c r="A20" s="8"/>
      <c r="D20" s="48"/>
      <c r="E20" s="11"/>
      <c r="F20" s="11"/>
      <c r="G20" s="50"/>
    </row>
    <row r="21" spans="1:8" ht="15" customHeight="1" x14ac:dyDescent="0.3">
      <c r="A21" s="20" t="s">
        <v>376</v>
      </c>
      <c r="B21" s="20"/>
      <c r="C21" s="20"/>
      <c r="D21" s="20"/>
      <c r="E21" s="20"/>
      <c r="F21" s="20"/>
      <c r="G21" s="20"/>
      <c r="H21" s="20"/>
    </row>
    <row r="22" spans="1:8" ht="15" customHeight="1" x14ac:dyDescent="0.3">
      <c r="A22" s="8"/>
      <c r="D22" s="49" t="s">
        <v>265</v>
      </c>
      <c r="E22" s="49" t="s">
        <v>267</v>
      </c>
      <c r="F22" s="49" t="s">
        <v>268</v>
      </c>
      <c r="G22" s="48" t="s">
        <v>269</v>
      </c>
    </row>
    <row r="23" spans="1:8" ht="15" customHeight="1" x14ac:dyDescent="0.3">
      <c r="A23" s="8" t="s">
        <v>377</v>
      </c>
      <c r="D23" s="48">
        <f>H15</f>
        <v>11.546052631578949</v>
      </c>
      <c r="E23" s="11">
        <f>H15*(IS!D25)</f>
        <v>84183.551348684225</v>
      </c>
      <c r="F23" s="11">
        <f>E23-WACC!C10</f>
        <v>86824.551348684225</v>
      </c>
      <c r="G23" s="50">
        <f>F23/WACC!C6</f>
        <v>56.833508770494355</v>
      </c>
    </row>
    <row r="24" spans="1:8" ht="15" customHeight="1" x14ac:dyDescent="0.3">
      <c r="A24" s="8" t="s">
        <v>378</v>
      </c>
      <c r="D24" s="48">
        <f>H17</f>
        <v>7.2222222222222223</v>
      </c>
      <c r="E24" s="11">
        <f>H17*(IS!D25)</f>
        <v>52658.023888888885</v>
      </c>
      <c r="F24" s="11">
        <f>E24-WACC!C10</f>
        <v>55299.023888888885</v>
      </c>
      <c r="G24" s="50">
        <f>F24/WACC!C6</f>
        <v>36.197567512527904</v>
      </c>
    </row>
    <row r="25" spans="1:8" ht="15" customHeight="1" x14ac:dyDescent="0.3">
      <c r="A25" s="8" t="s">
        <v>379</v>
      </c>
      <c r="D25" s="48">
        <f>H18</f>
        <v>15.625</v>
      </c>
      <c r="E25" s="11">
        <f>H18*(IS!D25)</f>
        <v>113923.609375</v>
      </c>
      <c r="F25" s="11">
        <f>E25-WACC!C10</f>
        <v>116564.609375</v>
      </c>
      <c r="G25" s="50">
        <f>F25/WACC!C6</f>
        <v>76.300719627544666</v>
      </c>
    </row>
    <row r="26" spans="1:8" ht="15" customHeight="1" x14ac:dyDescent="0.3">
      <c r="A26" s="8" t="s">
        <v>380</v>
      </c>
      <c r="D26" s="48">
        <f>G15</f>
        <v>1.2569444444444444</v>
      </c>
      <c r="E26" s="11">
        <f>G15*(IS!D7)</f>
        <v>64559.180555555555</v>
      </c>
      <c r="F26" s="11">
        <f>E26-WACC!C10</f>
        <v>67200.180555555562</v>
      </c>
      <c r="G26" s="50">
        <f>F26/WACC!C6</f>
        <v>43.987812106798167</v>
      </c>
    </row>
    <row r="27" spans="1:8" ht="15" customHeight="1" x14ac:dyDescent="0.3">
      <c r="A27" s="15"/>
    </row>
    <row r="28" spans="1:8" ht="15" customHeight="1" x14ac:dyDescent="0.3">
      <c r="A28" s="15"/>
    </row>
    <row r="29" spans="1:8" ht="15" customHeight="1" x14ac:dyDescent="0.3">
      <c r="A29" s="8"/>
    </row>
    <row r="30" spans="1:8" ht="15" customHeight="1" x14ac:dyDescent="0.3">
      <c r="A30" s="8"/>
    </row>
    <row r="31" spans="1:8" ht="15" customHeight="1" x14ac:dyDescent="0.3">
      <c r="A31" s="8"/>
    </row>
    <row r="32" spans="1:8" ht="15" customHeight="1" x14ac:dyDescent="0.3">
      <c r="A32" s="8"/>
    </row>
    <row r="33" spans="1:1" ht="15" customHeight="1" x14ac:dyDescent="0.3">
      <c r="A33" s="8"/>
    </row>
    <row r="34" spans="1:1" ht="15" customHeight="1" x14ac:dyDescent="0.3">
      <c r="A34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8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12" width="13" customWidth="1"/>
  </cols>
  <sheetData>
    <row r="1" spans="1:12" ht="21.75" customHeight="1" x14ac:dyDescent="0.3">
      <c r="A1" s="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3"/>
    </row>
    <row r="4" spans="1:12" ht="15" customHeight="1" x14ac:dyDescent="0.3">
      <c r="A4" s="6" t="s">
        <v>382</v>
      </c>
      <c r="B4" s="7"/>
      <c r="C4" s="7"/>
      <c r="D4" s="7"/>
      <c r="E4" s="7"/>
      <c r="F4" s="7"/>
      <c r="G4" s="7"/>
      <c r="H4" s="7"/>
    </row>
    <row r="5" spans="1:12" ht="15" customHeight="1" x14ac:dyDescent="0.3">
      <c r="A5" s="8" t="s">
        <v>383</v>
      </c>
      <c r="C5" s="58">
        <v>9.5</v>
      </c>
    </row>
    <row r="6" spans="1:12" ht="15" customHeight="1" x14ac:dyDescent="0.3">
      <c r="A6" s="8" t="s">
        <v>384</v>
      </c>
      <c r="C6" s="11">
        <f>IS!D25</f>
        <v>7291.1109999999999</v>
      </c>
    </row>
    <row r="7" spans="1:12" ht="15" customHeight="1" x14ac:dyDescent="0.3">
      <c r="A7" s="4" t="s">
        <v>385</v>
      </c>
      <c r="C7" s="31">
        <f>C5*C6</f>
        <v>69265.554499999998</v>
      </c>
    </row>
    <row r="8" spans="1:12" ht="15" customHeight="1" x14ac:dyDescent="0.3">
      <c r="A8" s="8" t="s">
        <v>386</v>
      </c>
      <c r="C8" s="58">
        <v>9</v>
      </c>
    </row>
    <row r="9" spans="1:12" ht="15" customHeight="1" x14ac:dyDescent="0.3">
      <c r="A9" s="8" t="s">
        <v>387</v>
      </c>
      <c r="C9" s="59">
        <v>5</v>
      </c>
    </row>
    <row r="10" spans="1:12" ht="15" customHeight="1" x14ac:dyDescent="0.3">
      <c r="A10" s="8" t="s">
        <v>388</v>
      </c>
      <c r="C10" s="10">
        <v>0.55000000000000004</v>
      </c>
    </row>
    <row r="11" spans="1:12" ht="15" customHeight="1" x14ac:dyDescent="0.3">
      <c r="A11" s="4" t="s">
        <v>389</v>
      </c>
      <c r="C11" s="44">
        <f>1-C10</f>
        <v>0.44999999999999996</v>
      </c>
    </row>
    <row r="12" spans="1:12" ht="15" customHeight="1" x14ac:dyDescent="0.3">
      <c r="A12" s="4" t="s">
        <v>390</v>
      </c>
      <c r="C12" s="31">
        <f>C7*C10</f>
        <v>38096.054974999999</v>
      </c>
    </row>
    <row r="13" spans="1:12" ht="15" customHeight="1" x14ac:dyDescent="0.3">
      <c r="A13" s="4" t="s">
        <v>391</v>
      </c>
      <c r="C13" s="31">
        <f>C7*C11</f>
        <v>31169.499524999996</v>
      </c>
    </row>
    <row r="15" spans="1:12" ht="15" customHeight="1" x14ac:dyDescent="0.3">
      <c r="A15" s="6" t="s">
        <v>392</v>
      </c>
      <c r="B15" s="7"/>
      <c r="C15" s="7"/>
      <c r="D15" s="7"/>
      <c r="E15" s="7"/>
      <c r="F15" s="7"/>
      <c r="G15" s="7"/>
      <c r="H15" s="7"/>
    </row>
    <row r="16" spans="1:12" ht="15" customHeight="1" x14ac:dyDescent="0.3">
      <c r="C16" s="49" t="s">
        <v>393</v>
      </c>
      <c r="D16" s="49" t="s">
        <v>394</v>
      </c>
      <c r="E16" s="49" t="s">
        <v>395</v>
      </c>
      <c r="F16" s="49" t="s">
        <v>396</v>
      </c>
    </row>
    <row r="17" spans="1:8" ht="15" customHeight="1" x14ac:dyDescent="0.3">
      <c r="A17" s="8" t="s">
        <v>397</v>
      </c>
      <c r="C17" s="10">
        <v>0.6</v>
      </c>
      <c r="D17" s="11">
        <f>$C$12*C17</f>
        <v>22857.632985</v>
      </c>
      <c r="E17" s="36">
        <v>7.4999999999999997E-2</v>
      </c>
      <c r="F17" s="11">
        <f>D17*E17</f>
        <v>1714.322473875</v>
      </c>
    </row>
    <row r="18" spans="1:8" ht="15" customHeight="1" x14ac:dyDescent="0.3">
      <c r="A18" s="8" t="s">
        <v>398</v>
      </c>
      <c r="C18" s="10">
        <v>0.4</v>
      </c>
      <c r="D18" s="11">
        <f>$C$12*C18</f>
        <v>15238.421990000001</v>
      </c>
      <c r="E18" s="36">
        <v>0.08</v>
      </c>
      <c r="F18" s="11">
        <f>D18*E18</f>
        <v>1219.0737592</v>
      </c>
    </row>
    <row r="19" spans="1:8" ht="15" customHeight="1" x14ac:dyDescent="0.3">
      <c r="A19" s="4" t="s">
        <v>399</v>
      </c>
      <c r="C19" s="44">
        <f>SUM(C17:C18)</f>
        <v>1</v>
      </c>
      <c r="D19" s="31">
        <f>SUM(D17:D18)</f>
        <v>38096.054974999999</v>
      </c>
      <c r="F19" s="31">
        <f>SUM(F17:F18)</f>
        <v>2933.3962330750001</v>
      </c>
    </row>
    <row r="20" spans="1:8" ht="15" customHeight="1" x14ac:dyDescent="0.3">
      <c r="A20" s="4" t="s">
        <v>400</v>
      </c>
      <c r="C20" s="40">
        <f>F19/D19</f>
        <v>7.6999999999999999E-2</v>
      </c>
    </row>
    <row r="21" spans="1:8" ht="15" customHeight="1" x14ac:dyDescent="0.3">
      <c r="A21" s="4" t="s">
        <v>401</v>
      </c>
      <c r="C21" s="57">
        <f>C12/C6</f>
        <v>5.2249999999999996</v>
      </c>
    </row>
    <row r="23" spans="1:8" ht="15" customHeight="1" x14ac:dyDescent="0.3">
      <c r="A23" s="6" t="s">
        <v>402</v>
      </c>
      <c r="B23" s="7"/>
      <c r="C23" s="7"/>
      <c r="D23" s="7"/>
      <c r="E23" s="7"/>
      <c r="F23" s="7"/>
      <c r="G23" s="7"/>
      <c r="H23" s="7"/>
    </row>
    <row r="24" spans="1:8" ht="15" customHeight="1" x14ac:dyDescent="0.3">
      <c r="C24" s="5" t="s">
        <v>5</v>
      </c>
      <c r="D24" s="5" t="s">
        <v>6</v>
      </c>
      <c r="E24" s="5" t="s">
        <v>7</v>
      </c>
      <c r="F24" s="5" t="s">
        <v>204</v>
      </c>
      <c r="G24" s="5" t="s">
        <v>205</v>
      </c>
    </row>
    <row r="25" spans="1:8" ht="15" customHeight="1" x14ac:dyDescent="0.3">
      <c r="A25" s="8" t="s">
        <v>162</v>
      </c>
      <c r="C25" s="22">
        <f>IS!E7</f>
        <v>51618.81</v>
      </c>
      <c r="D25" s="22">
        <f>IS!F7</f>
        <v>53425.468349999996</v>
      </c>
      <c r="E25" s="22">
        <f>IS!G7</f>
        <v>55829.614425749991</v>
      </c>
      <c r="F25" s="22">
        <f>E25*(1+F39)</f>
        <v>58062.79900277999</v>
      </c>
      <c r="G25" s="22">
        <f>F25*(1+G39)</f>
        <v>60385.310962891192</v>
      </c>
    </row>
    <row r="26" spans="1:8" ht="15" customHeight="1" x14ac:dyDescent="0.3">
      <c r="A26" s="4" t="s">
        <v>168</v>
      </c>
      <c r="C26" s="23">
        <f>IS!E25</f>
        <v>7355.6804249999996</v>
      </c>
      <c r="D26" s="23">
        <f>IS!F25</f>
        <v>8040.5329866749971</v>
      </c>
      <c r="E26" s="23">
        <f>IS!G25</f>
        <v>8793.1642720556265</v>
      </c>
      <c r="F26" s="23">
        <f>E26*(1+F39)</f>
        <v>9144.8908429378516</v>
      </c>
      <c r="G26" s="23">
        <f>F26*(1+G39)</f>
        <v>9510.6864766553663</v>
      </c>
    </row>
    <row r="27" spans="1:8" ht="15" customHeight="1" x14ac:dyDescent="0.3">
      <c r="A27" s="3" t="s">
        <v>403</v>
      </c>
      <c r="C27" s="24">
        <f>C26/C25</f>
        <v>0.14249999999999999</v>
      </c>
      <c r="D27" s="24">
        <f>D26/D25</f>
        <v>0.15049999999999997</v>
      </c>
      <c r="E27" s="24">
        <f>E26/E25</f>
        <v>0.15750000000000006</v>
      </c>
      <c r="F27" s="24">
        <f>F26/F25</f>
        <v>0.15750000000000006</v>
      </c>
      <c r="G27" s="24">
        <f>G26/G25</f>
        <v>0.15750000000000006</v>
      </c>
    </row>
    <row r="28" spans="1:8" ht="15" customHeight="1" x14ac:dyDescent="0.3">
      <c r="A28" s="8" t="s">
        <v>404</v>
      </c>
      <c r="C28" s="22">
        <f>IS!E26</f>
        <v>800.09155499999997</v>
      </c>
      <c r="D28" s="22">
        <f>IS!F26</f>
        <v>828.09475942499989</v>
      </c>
      <c r="E28" s="22">
        <f>IS!G26</f>
        <v>865.35902359912484</v>
      </c>
      <c r="F28" s="22">
        <f>E28*(1+F39)</f>
        <v>899.97338454308988</v>
      </c>
      <c r="G28" s="22">
        <f>F28*(1+G39)</f>
        <v>935.97231992481352</v>
      </c>
    </row>
    <row r="29" spans="1:8" ht="15" customHeight="1" x14ac:dyDescent="0.3">
      <c r="A29" s="4" t="s">
        <v>166</v>
      </c>
      <c r="C29" s="23">
        <f>C26-C28</f>
        <v>6555.5888699999996</v>
      </c>
      <c r="D29" s="23">
        <f>D26-D28</f>
        <v>7212.438227249997</v>
      </c>
      <c r="E29" s="23">
        <f>E26-E28</f>
        <v>7927.8052484565014</v>
      </c>
      <c r="F29" s="23">
        <f>F26-F28</f>
        <v>8244.9174583947624</v>
      </c>
      <c r="G29" s="23">
        <f>G26-G28</f>
        <v>8574.7141567305534</v>
      </c>
    </row>
    <row r="30" spans="1:8" ht="15" customHeight="1" x14ac:dyDescent="0.3">
      <c r="A30" s="8" t="s">
        <v>405</v>
      </c>
      <c r="C30" s="22">
        <f>-C47</f>
        <v>-2933.3962330750001</v>
      </c>
      <c r="D30" s="22">
        <f>-D47</f>
        <v>-2712.6958574853438</v>
      </c>
      <c r="E30" s="22">
        <f>-E47</f>
        <v>-2436.0562811199884</v>
      </c>
      <c r="F30" s="22">
        <f>-F47</f>
        <v>-2102.3770262240932</v>
      </c>
      <c r="G30" s="22">
        <f>-G47</f>
        <v>-1727.9636074547752</v>
      </c>
    </row>
    <row r="31" spans="1:8" ht="15" customHeight="1" x14ac:dyDescent="0.3">
      <c r="A31" s="4" t="s">
        <v>406</v>
      </c>
      <c r="C31" s="23">
        <f>C29+C30</f>
        <v>3622.1926369249995</v>
      </c>
      <c r="D31" s="23">
        <f>D29+D30</f>
        <v>4499.7423697646536</v>
      </c>
      <c r="E31" s="23">
        <f>E29+E30</f>
        <v>5491.7489673365126</v>
      </c>
      <c r="F31" s="23">
        <f>F29+F30</f>
        <v>6142.5404321706692</v>
      </c>
      <c r="G31" s="23">
        <f>G29+G30</f>
        <v>6846.7505492757782</v>
      </c>
    </row>
    <row r="32" spans="1:8" ht="15" customHeight="1" x14ac:dyDescent="0.3">
      <c r="A32" s="8" t="s">
        <v>407</v>
      </c>
      <c r="C32" s="22">
        <f>-MAX(0,C31)*$C$40</f>
        <v>-633.8837114618749</v>
      </c>
      <c r="D32" s="22">
        <f>-MAX(0,D31)*$C$40</f>
        <v>-787.45491470881439</v>
      </c>
      <c r="E32" s="22">
        <f>-MAX(0,E31)*$C$40</f>
        <v>-961.05606928388966</v>
      </c>
      <c r="F32" s="22">
        <f>-MAX(0,F31)*$C$40</f>
        <v>-1074.9445756298671</v>
      </c>
      <c r="G32" s="22">
        <f>-MAX(0,G31)*$C$40</f>
        <v>-1198.1813461232612</v>
      </c>
    </row>
    <row r="33" spans="1:8" ht="15" customHeight="1" x14ac:dyDescent="0.3">
      <c r="A33" s="4" t="s">
        <v>134</v>
      </c>
      <c r="C33" s="23">
        <f>C31+C32</f>
        <v>2988.3089254631245</v>
      </c>
      <c r="D33" s="23">
        <f>D31+D32</f>
        <v>3712.287455055839</v>
      </c>
      <c r="E33" s="23">
        <f>E31+E32</f>
        <v>4530.6928980526227</v>
      </c>
      <c r="F33" s="23">
        <f>F31+F32</f>
        <v>5067.5958565408018</v>
      </c>
      <c r="G33" s="23">
        <f>G31+G32</f>
        <v>5648.5692031525168</v>
      </c>
    </row>
    <row r="34" spans="1:8" ht="15" customHeight="1" x14ac:dyDescent="0.3">
      <c r="A34" s="8" t="s">
        <v>173</v>
      </c>
      <c r="C34" s="22">
        <f>C28</f>
        <v>800.09155499999997</v>
      </c>
      <c r="D34" s="22">
        <f>D28</f>
        <v>828.09475942499989</v>
      </c>
      <c r="E34" s="22">
        <f>E28</f>
        <v>865.35902359912484</v>
      </c>
      <c r="F34" s="22">
        <f>F28</f>
        <v>899.97338454308988</v>
      </c>
      <c r="G34" s="22">
        <f>G28</f>
        <v>935.97231992481352</v>
      </c>
    </row>
    <row r="35" spans="1:8" ht="15" customHeight="1" x14ac:dyDescent="0.3">
      <c r="A35" s="8" t="s">
        <v>174</v>
      </c>
      <c r="C35" s="22">
        <f>CF!E15</f>
        <v>-980.75738999999999</v>
      </c>
      <c r="D35" s="22">
        <f>CF!F15</f>
        <v>-1015.0838986499999</v>
      </c>
      <c r="E35" s="22">
        <f>CF!G15</f>
        <v>-1060.7626740892499</v>
      </c>
      <c r="F35" s="22">
        <f>E35*(1+F39)</f>
        <v>-1103.1931810528199</v>
      </c>
      <c r="G35" s="22">
        <f>F35*(1+G39)</f>
        <v>-1147.3209082949327</v>
      </c>
    </row>
    <row r="36" spans="1:8" ht="15" customHeight="1" x14ac:dyDescent="0.3">
      <c r="A36" s="8" t="s">
        <v>175</v>
      </c>
      <c r="C36" s="22">
        <f>CF!E47</f>
        <v>58.595553558379834</v>
      </c>
      <c r="D36" s="22">
        <f>CF!F47</f>
        <v>67.423455147805726</v>
      </c>
      <c r="E36" s="22">
        <f>CF!G47</f>
        <v>-1.7924307326957205</v>
      </c>
      <c r="F36" s="22">
        <f>E36*(1+F39)</f>
        <v>-1.8641279620035494</v>
      </c>
      <c r="G36" s="22">
        <f>F36*(1+G39)</f>
        <v>-1.9386930804836915</v>
      </c>
    </row>
    <row r="37" spans="1:8" ht="15" customHeight="1" x14ac:dyDescent="0.3">
      <c r="A37" s="4" t="s">
        <v>408</v>
      </c>
      <c r="C37" s="33">
        <f>C33+C34+C35+C36</f>
        <v>2866.2386440215041</v>
      </c>
      <c r="D37" s="33">
        <f>D33+D34+D35+D36</f>
        <v>3592.7217709786451</v>
      </c>
      <c r="E37" s="33">
        <f>E33+E34+E35+E36</f>
        <v>4333.4968168298019</v>
      </c>
      <c r="F37" s="33">
        <f>F33+F34+F35+F36</f>
        <v>4862.5119320690692</v>
      </c>
      <c r="G37" s="33">
        <f>G33+G34+G35+G36</f>
        <v>5435.2819217019141</v>
      </c>
    </row>
    <row r="39" spans="1:8" ht="15" customHeight="1" x14ac:dyDescent="0.3">
      <c r="A39" s="8" t="s">
        <v>409</v>
      </c>
      <c r="F39" s="10">
        <v>0.04</v>
      </c>
      <c r="G39" s="10">
        <v>0.04</v>
      </c>
    </row>
    <row r="40" spans="1:8" ht="15" customHeight="1" x14ac:dyDescent="0.3">
      <c r="A40" s="8" t="s">
        <v>410</v>
      </c>
      <c r="C40" s="10">
        <v>0.17499999999999999</v>
      </c>
    </row>
    <row r="43" spans="1:8" ht="15" customHeight="1" x14ac:dyDescent="0.3">
      <c r="A43" s="6" t="s">
        <v>411</v>
      </c>
      <c r="B43" s="7"/>
      <c r="C43" s="7"/>
      <c r="D43" s="7"/>
      <c r="E43" s="7"/>
      <c r="F43" s="7"/>
      <c r="G43" s="7"/>
      <c r="H43" s="7"/>
    </row>
    <row r="44" spans="1:8" ht="15" customHeight="1" x14ac:dyDescent="0.3">
      <c r="C44" s="5" t="s">
        <v>5</v>
      </c>
      <c r="D44" s="5" t="s">
        <v>6</v>
      </c>
      <c r="E44" s="5" t="s">
        <v>7</v>
      </c>
      <c r="F44" s="5" t="s">
        <v>204</v>
      </c>
      <c r="G44" s="5" t="s">
        <v>205</v>
      </c>
    </row>
    <row r="45" spans="1:8" ht="15" customHeight="1" x14ac:dyDescent="0.3">
      <c r="A45" s="8" t="s">
        <v>412</v>
      </c>
      <c r="C45" s="22">
        <f>C12</f>
        <v>38096.054974999999</v>
      </c>
      <c r="D45" s="22">
        <f>C50</f>
        <v>35229.816330978494</v>
      </c>
      <c r="E45" s="22">
        <f>D50</f>
        <v>31637.094559999849</v>
      </c>
      <c r="F45" s="22">
        <f>E50</f>
        <v>27303.597743170045</v>
      </c>
      <c r="G45" s="22">
        <f>F50</f>
        <v>22441.085811100977</v>
      </c>
    </row>
    <row r="46" spans="1:8" ht="15" customHeight="1" x14ac:dyDescent="0.3">
      <c r="A46" s="3" t="s">
        <v>413</v>
      </c>
      <c r="C46" s="60">
        <f>$C$20</f>
        <v>7.6999999999999999E-2</v>
      </c>
      <c r="D46" s="60">
        <f>$C$20</f>
        <v>7.6999999999999999E-2</v>
      </c>
      <c r="E46" s="60">
        <f>$C$20</f>
        <v>7.6999999999999999E-2</v>
      </c>
      <c r="F46" s="60">
        <f>$C$20</f>
        <v>7.6999999999999999E-2</v>
      </c>
      <c r="G46" s="60">
        <f>$C$20</f>
        <v>7.6999999999999999E-2</v>
      </c>
    </row>
    <row r="47" spans="1:8" ht="15" customHeight="1" x14ac:dyDescent="0.3">
      <c r="A47" s="8" t="s">
        <v>414</v>
      </c>
      <c r="C47" s="22">
        <f>C45*C46</f>
        <v>2933.3962330750001</v>
      </c>
      <c r="D47" s="22">
        <f>D45*D46</f>
        <v>2712.6958574853438</v>
      </c>
      <c r="E47" s="22">
        <f>E45*E46</f>
        <v>2436.0562811199884</v>
      </c>
      <c r="F47" s="22">
        <f>F45*F46</f>
        <v>2102.3770262240932</v>
      </c>
      <c r="G47" s="22">
        <f>G45*G46</f>
        <v>1727.9636074547752</v>
      </c>
    </row>
    <row r="48" spans="1:8" ht="15" customHeight="1" x14ac:dyDescent="0.3">
      <c r="A48" s="8" t="s">
        <v>415</v>
      </c>
      <c r="C48" s="22">
        <f>C37</f>
        <v>2866.2386440215041</v>
      </c>
      <c r="D48" s="22">
        <f>D37</f>
        <v>3592.7217709786451</v>
      </c>
      <c r="E48" s="22">
        <f>E37</f>
        <v>4333.4968168298019</v>
      </c>
      <c r="F48" s="22">
        <f>F37</f>
        <v>4862.5119320690692</v>
      </c>
      <c r="G48" s="22">
        <f>G37</f>
        <v>5435.2819217019141</v>
      </c>
    </row>
    <row r="49" spans="1:8" ht="15" customHeight="1" x14ac:dyDescent="0.3">
      <c r="A49" s="8" t="s">
        <v>416</v>
      </c>
      <c r="C49" s="22">
        <f>-MIN(C45,MAX(0,C48))</f>
        <v>-2866.2386440215041</v>
      </c>
      <c r="D49" s="22">
        <f>-MIN(D45,MAX(0,D48))</f>
        <v>-3592.7217709786451</v>
      </c>
      <c r="E49" s="22">
        <f>-MIN(E45,MAX(0,E48))</f>
        <v>-4333.4968168298019</v>
      </c>
      <c r="F49" s="22">
        <f>-MIN(F45,MAX(0,F48))</f>
        <v>-4862.5119320690692</v>
      </c>
      <c r="G49" s="22">
        <f>-MIN(G45,MAX(0,G48))</f>
        <v>-5435.2819217019141</v>
      </c>
    </row>
    <row r="50" spans="1:8" ht="15" customHeight="1" x14ac:dyDescent="0.3">
      <c r="A50" s="4" t="s">
        <v>417</v>
      </c>
      <c r="C50" s="35">
        <f>C45+C49</f>
        <v>35229.816330978494</v>
      </c>
      <c r="D50" s="35">
        <f>D45+D49</f>
        <v>31637.094559999849</v>
      </c>
      <c r="E50" s="35">
        <f>E45+E49</f>
        <v>27303.597743170045</v>
      </c>
      <c r="F50" s="35">
        <f>F45+F49</f>
        <v>22441.085811100977</v>
      </c>
      <c r="G50" s="35">
        <f>G45+G49</f>
        <v>17005.803889399063</v>
      </c>
    </row>
    <row r="51" spans="1:8" ht="15" customHeight="1" x14ac:dyDescent="0.3">
      <c r="A51" s="3" t="s">
        <v>418</v>
      </c>
      <c r="C51" s="61">
        <f>C50/C26</f>
        <v>4.7894707621121935</v>
      </c>
      <c r="D51" s="61">
        <f>D50/D26</f>
        <v>3.9347011712320255</v>
      </c>
      <c r="E51" s="61">
        <f>E50/E26</f>
        <v>3.1050935588613919</v>
      </c>
      <c r="F51" s="61">
        <f>F50/F26</f>
        <v>2.4539479143625997</v>
      </c>
      <c r="G51" s="61">
        <f>G50/G26</f>
        <v>1.7880732301649285</v>
      </c>
    </row>
    <row r="54" spans="1:8" ht="15" customHeight="1" x14ac:dyDescent="0.3">
      <c r="A54" s="6" t="s">
        <v>419</v>
      </c>
      <c r="B54" s="7"/>
      <c r="C54" s="7"/>
      <c r="D54" s="7"/>
      <c r="E54" s="7"/>
      <c r="F54" s="7"/>
      <c r="G54" s="7"/>
      <c r="H54" s="7"/>
    </row>
    <row r="55" spans="1:8" ht="15" customHeight="1" x14ac:dyDescent="0.3">
      <c r="A55" s="8" t="s">
        <v>420</v>
      </c>
      <c r="C55" s="11">
        <f>G26</f>
        <v>9510.6864766553663</v>
      </c>
    </row>
    <row r="56" spans="1:8" ht="15" customHeight="1" x14ac:dyDescent="0.3">
      <c r="A56" s="8" t="s">
        <v>421</v>
      </c>
      <c r="C56" s="48">
        <f>C8</f>
        <v>9</v>
      </c>
    </row>
    <row r="57" spans="1:8" ht="15" customHeight="1" x14ac:dyDescent="0.3">
      <c r="A57" s="4" t="s">
        <v>422</v>
      </c>
      <c r="C57" s="31">
        <f>C55*C56</f>
        <v>85596.178289898293</v>
      </c>
    </row>
    <row r="58" spans="1:8" ht="15" customHeight="1" x14ac:dyDescent="0.3">
      <c r="A58" s="8" t="s">
        <v>423</v>
      </c>
      <c r="C58" s="11">
        <f>-G50</f>
        <v>-17005.803889399063</v>
      </c>
    </row>
    <row r="59" spans="1:8" ht="15" customHeight="1" x14ac:dyDescent="0.3">
      <c r="A59" s="4" t="s">
        <v>424</v>
      </c>
      <c r="C59" s="35">
        <f>C57+C58</f>
        <v>68590.374400499233</v>
      </c>
    </row>
    <row r="60" spans="1:8" ht="15" customHeight="1" x14ac:dyDescent="0.3">
      <c r="A60" s="8" t="s">
        <v>425</v>
      </c>
      <c r="C60" s="11">
        <f>-C13</f>
        <v>-31169.499524999996</v>
      </c>
    </row>
    <row r="61" spans="1:8" ht="15" customHeight="1" x14ac:dyDescent="0.3">
      <c r="A61" s="4" t="s">
        <v>426</v>
      </c>
      <c r="C61" s="57">
        <f>C59/-C60</f>
        <v>2.2005606585208475</v>
      </c>
    </row>
    <row r="62" spans="1:8" ht="15" customHeight="1" x14ac:dyDescent="0.3">
      <c r="A62" s="4" t="s">
        <v>427</v>
      </c>
      <c r="C62" s="39">
        <f>(C59/-C60)^(1/C9)-1</f>
        <v>0.17086458158731688</v>
      </c>
    </row>
    <row r="65" spans="1:8" ht="15" customHeight="1" x14ac:dyDescent="0.3">
      <c r="A65" s="6" t="s">
        <v>428</v>
      </c>
      <c r="B65" s="7"/>
      <c r="C65" s="7"/>
      <c r="D65" s="7"/>
      <c r="E65" s="7"/>
      <c r="F65" s="7"/>
      <c r="G65" s="7"/>
      <c r="H65" s="7"/>
    </row>
    <row r="66" spans="1:8" ht="15" customHeight="1" x14ac:dyDescent="0.3">
      <c r="B66" s="4" t="s">
        <v>429</v>
      </c>
      <c r="C66" s="62">
        <v>8</v>
      </c>
      <c r="D66" s="62">
        <v>8.5</v>
      </c>
      <c r="E66" s="62">
        <v>9</v>
      </c>
      <c r="F66" s="62">
        <v>9.5</v>
      </c>
      <c r="G66" s="62">
        <v>10</v>
      </c>
    </row>
    <row r="67" spans="1:8" ht="15" customHeight="1" x14ac:dyDescent="0.3">
      <c r="B67" s="57">
        <v>8.5</v>
      </c>
      <c r="C67" s="24">
        <f t="shared" ref="C67:G71" si="0">((C$66*$G$26-$G$50)/($B67*$C$6*$C$11))^(1/$C$9)-1</f>
        <v>0.16199058342271044</v>
      </c>
      <c r="D67" s="24">
        <f t="shared" si="0"/>
        <v>0.18012166965677801</v>
      </c>
      <c r="E67" s="24">
        <f t="shared" si="0"/>
        <v>0.19720247169551897</v>
      </c>
      <c r="F67" s="24">
        <f t="shared" si="0"/>
        <v>0.21336069508033018</v>
      </c>
      <c r="G67" s="24">
        <f t="shared" si="0"/>
        <v>0.22870141021292145</v>
      </c>
    </row>
    <row r="68" spans="1:8" ht="15" customHeight="1" x14ac:dyDescent="0.3">
      <c r="B68" s="57">
        <v>9</v>
      </c>
      <c r="C68" s="24">
        <f t="shared" si="0"/>
        <v>0.1487827136195452</v>
      </c>
      <c r="D68" s="24">
        <f t="shared" si="0"/>
        <v>0.16670771124172035</v>
      </c>
      <c r="E68" s="24">
        <f t="shared" si="0"/>
        <v>0.18359436281772989</v>
      </c>
      <c r="F68" s="24">
        <f t="shared" si="0"/>
        <v>0.19956892231252166</v>
      </c>
      <c r="G68" s="24">
        <f t="shared" si="0"/>
        <v>0.21473526583569624</v>
      </c>
    </row>
    <row r="69" spans="1:8" ht="15" customHeight="1" x14ac:dyDescent="0.3">
      <c r="B69" s="57">
        <v>9.5</v>
      </c>
      <c r="C69" s="24">
        <f t="shared" si="0"/>
        <v>0.13642733826033626</v>
      </c>
      <c r="D69" s="24">
        <f t="shared" si="0"/>
        <v>0.1541595491428529</v>
      </c>
      <c r="E69" s="24">
        <f t="shared" si="0"/>
        <v>0.17086458158731688</v>
      </c>
      <c r="F69" s="24">
        <f t="shared" si="0"/>
        <v>0.18666733167340488</v>
      </c>
      <c r="G69" s="24">
        <f t="shared" si="0"/>
        <v>0.20167055830351166</v>
      </c>
    </row>
    <row r="70" spans="1:8" ht="15" customHeight="1" x14ac:dyDescent="0.3">
      <c r="B70" s="57">
        <v>10</v>
      </c>
      <c r="C70" s="24">
        <f t="shared" si="0"/>
        <v>0.12482871274917651</v>
      </c>
      <c r="D70" s="24">
        <f t="shared" si="0"/>
        <v>0.14237994481625393</v>
      </c>
      <c r="E70" s="24">
        <f t="shared" si="0"/>
        <v>0.15891448205266379</v>
      </c>
      <c r="F70" s="24">
        <f t="shared" si="0"/>
        <v>0.17455594582142742</v>
      </c>
      <c r="G70" s="24">
        <f t="shared" si="0"/>
        <v>0.18940604624514767</v>
      </c>
    </row>
    <row r="71" spans="1:8" ht="15" customHeight="1" x14ac:dyDescent="0.3">
      <c r="B71" s="57">
        <v>10.5</v>
      </c>
      <c r="C71" s="24">
        <f t="shared" si="0"/>
        <v>0.11390597612005715</v>
      </c>
      <c r="D71" s="24">
        <f t="shared" si="0"/>
        <v>0.13128677558418578</v>
      </c>
      <c r="E71" s="24">
        <f t="shared" si="0"/>
        <v>0.1476607529118108</v>
      </c>
      <c r="F71" s="24">
        <f t="shared" si="0"/>
        <v>0.16315032903110049</v>
      </c>
      <c r="G71" s="24">
        <f t="shared" si="0"/>
        <v>0.1778562264006085</v>
      </c>
    </row>
    <row r="74" spans="1:8" ht="15" customHeight="1" x14ac:dyDescent="0.3">
      <c r="A74" s="15"/>
    </row>
    <row r="75" spans="1:8" ht="15" customHeight="1" x14ac:dyDescent="0.3">
      <c r="A75" s="15"/>
    </row>
    <row r="76" spans="1:8" ht="15" customHeight="1" x14ac:dyDescent="0.3">
      <c r="A76" s="15"/>
    </row>
    <row r="77" spans="1:8" ht="15" customHeight="1" x14ac:dyDescent="0.3">
      <c r="A77" s="15"/>
    </row>
    <row r="78" spans="1:8" ht="15" customHeight="1" x14ac:dyDescent="0.3">
      <c r="A78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6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12" width="13" customWidth="1"/>
  </cols>
  <sheetData>
    <row r="1" spans="1:12" ht="21.75" customHeight="1" x14ac:dyDescent="0.3">
      <c r="A1" s="1" t="s">
        <v>430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3"/>
    </row>
    <row r="4" spans="1:12" ht="15" customHeight="1" x14ac:dyDescent="0.3">
      <c r="A4" s="6" t="s">
        <v>382</v>
      </c>
      <c r="B4" s="7"/>
      <c r="C4" s="7"/>
      <c r="D4" s="7"/>
      <c r="E4" s="7"/>
      <c r="F4" s="7"/>
      <c r="G4" s="7"/>
      <c r="H4" s="7"/>
    </row>
    <row r="5" spans="1:12" ht="15" customHeight="1" x14ac:dyDescent="0.3">
      <c r="A5" s="8" t="s">
        <v>431</v>
      </c>
      <c r="C5" s="11">
        <f>Comps!E8</f>
        <v>9483.93</v>
      </c>
    </row>
    <row r="6" spans="1:12" ht="15" customHeight="1" x14ac:dyDescent="0.3">
      <c r="A6" s="8" t="s">
        <v>432</v>
      </c>
      <c r="C6" s="10">
        <v>0.22500000000000001</v>
      </c>
    </row>
    <row r="7" spans="1:12" ht="15" customHeight="1" x14ac:dyDescent="0.3">
      <c r="A7" s="4" t="s">
        <v>433</v>
      </c>
      <c r="C7" s="31">
        <f>C5*(1+C6)</f>
        <v>11617.814250000001</v>
      </c>
    </row>
    <row r="8" spans="1:12" ht="15" customHeight="1" x14ac:dyDescent="0.3">
      <c r="A8" s="8" t="s">
        <v>434</v>
      </c>
      <c r="C8" s="11">
        <f>Comps!F8</f>
        <v>-120</v>
      </c>
    </row>
    <row r="9" spans="1:12" ht="15" customHeight="1" x14ac:dyDescent="0.3">
      <c r="A9" s="4" t="s">
        <v>435</v>
      </c>
      <c r="C9" s="31">
        <f>C7+C8</f>
        <v>11497.814250000001</v>
      </c>
    </row>
    <row r="10" spans="1:12" ht="15" customHeight="1" x14ac:dyDescent="0.3">
      <c r="A10" s="3" t="s">
        <v>436</v>
      </c>
      <c r="C10" s="48">
        <f>C9/Comps!I8</f>
        <v>9.7439103813559331</v>
      </c>
    </row>
    <row r="11" spans="1:12" ht="15" customHeight="1" x14ac:dyDescent="0.3">
      <c r="A11" s="8" t="s">
        <v>437</v>
      </c>
      <c r="C11" s="10">
        <v>0.7</v>
      </c>
    </row>
    <row r="12" spans="1:12" ht="15" customHeight="1" x14ac:dyDescent="0.3">
      <c r="A12" s="4" t="s">
        <v>438</v>
      </c>
      <c r="C12" s="44">
        <f>1-C11</f>
        <v>0.30000000000000004</v>
      </c>
    </row>
    <row r="13" spans="1:12" ht="15" customHeight="1" x14ac:dyDescent="0.3">
      <c r="A13" s="8" t="s">
        <v>439</v>
      </c>
      <c r="C13" s="36">
        <v>5.5E-2</v>
      </c>
    </row>
    <row r="14" spans="1:12" ht="15" customHeight="1" x14ac:dyDescent="0.3">
      <c r="A14" s="8" t="s">
        <v>440</v>
      </c>
      <c r="C14" s="21">
        <f>WACC!C5</f>
        <v>75</v>
      </c>
    </row>
    <row r="15" spans="1:12" ht="15" customHeight="1" x14ac:dyDescent="0.3">
      <c r="A15" s="4" t="s">
        <v>441</v>
      </c>
      <c r="C15" s="51">
        <f>C7*C11/C14</f>
        <v>108.43293300000001</v>
      </c>
    </row>
    <row r="16" spans="1:12" ht="15" customHeight="1" x14ac:dyDescent="0.3">
      <c r="A16" s="4" t="s">
        <v>442</v>
      </c>
      <c r="C16" s="31">
        <f>C7*C12</f>
        <v>3485.3442750000008</v>
      </c>
    </row>
    <row r="18" spans="1:8" ht="15" customHeight="1" x14ac:dyDescent="0.3">
      <c r="A18" s="6" t="s">
        <v>443</v>
      </c>
      <c r="B18" s="7"/>
      <c r="C18" s="7"/>
      <c r="D18" s="7"/>
      <c r="E18" s="7"/>
      <c r="F18" s="7"/>
      <c r="G18" s="7"/>
      <c r="H18" s="7"/>
    </row>
    <row r="19" spans="1:8" ht="15" customHeight="1" x14ac:dyDescent="0.3">
      <c r="A19" s="8" t="s">
        <v>444</v>
      </c>
      <c r="C19" s="10">
        <v>0.02</v>
      </c>
    </row>
    <row r="20" spans="1:8" ht="15" customHeight="1" x14ac:dyDescent="0.3">
      <c r="A20" s="8" t="s">
        <v>445</v>
      </c>
      <c r="C20" s="11">
        <f>IS!E7+Comps!H8</f>
        <v>61028.81</v>
      </c>
    </row>
    <row r="21" spans="1:8" ht="15" customHeight="1" x14ac:dyDescent="0.3">
      <c r="A21" s="4" t="s">
        <v>446</v>
      </c>
      <c r="C21" s="31">
        <f>C19*C20</f>
        <v>1220.5762</v>
      </c>
    </row>
    <row r="22" spans="1:8" ht="15" customHeight="1" x14ac:dyDescent="0.3">
      <c r="C22" s="4" t="s">
        <v>447</v>
      </c>
      <c r="D22" s="49" t="s">
        <v>448</v>
      </c>
      <c r="E22" s="49" t="s">
        <v>449</v>
      </c>
      <c r="F22" s="49" t="s">
        <v>450</v>
      </c>
    </row>
    <row r="23" spans="1:8" ht="15" customHeight="1" x14ac:dyDescent="0.3">
      <c r="A23" s="8" t="s">
        <v>451</v>
      </c>
      <c r="D23" s="10">
        <v>0.33</v>
      </c>
      <c r="E23" s="10">
        <v>0.67</v>
      </c>
      <c r="F23" s="10">
        <v>1</v>
      </c>
    </row>
    <row r="24" spans="1:8" ht="15" customHeight="1" x14ac:dyDescent="0.3">
      <c r="A24" s="4" t="s">
        <v>452</v>
      </c>
      <c r="D24" s="31">
        <f>$C$21*D23</f>
        <v>402.79014599999999</v>
      </c>
      <c r="E24" s="31">
        <f>$C$21*E23</f>
        <v>817.78605400000004</v>
      </c>
      <c r="F24" s="31">
        <f>$C$21*F23</f>
        <v>1220.5762</v>
      </c>
    </row>
    <row r="26" spans="1:8" ht="15" customHeight="1" x14ac:dyDescent="0.3">
      <c r="A26" s="6" t="s">
        <v>453</v>
      </c>
      <c r="B26" s="7"/>
      <c r="C26" s="7"/>
      <c r="D26" s="7"/>
      <c r="E26" s="7"/>
      <c r="F26" s="7"/>
      <c r="G26" s="7"/>
      <c r="H26" s="7"/>
    </row>
    <row r="27" spans="1:8" ht="15" customHeight="1" x14ac:dyDescent="0.3">
      <c r="A27" s="8" t="s">
        <v>454</v>
      </c>
      <c r="C27" s="11">
        <f>IS!E21</f>
        <v>5635.8597707999998</v>
      </c>
    </row>
    <row r="28" spans="1:8" ht="15" customHeight="1" x14ac:dyDescent="0.3">
      <c r="A28" s="8" t="s">
        <v>455</v>
      </c>
      <c r="C28" s="12">
        <v>639.5</v>
      </c>
    </row>
    <row r="29" spans="1:8" ht="15" customHeight="1" x14ac:dyDescent="0.3">
      <c r="A29" s="8" t="s">
        <v>456</v>
      </c>
      <c r="C29" s="11">
        <f>D24*(1-(IS!E20/IS!E19))</f>
        <v>338.34372264000001</v>
      </c>
    </row>
    <row r="30" spans="1:8" ht="15" customHeight="1" x14ac:dyDescent="0.3">
      <c r="A30" s="8" t="s">
        <v>457</v>
      </c>
      <c r="C30" s="11">
        <f>-C16*C13*(1-(IS!E20/IS!E19))</f>
        <v>-161.02290550500007</v>
      </c>
    </row>
    <row r="31" spans="1:8" ht="15" customHeight="1" x14ac:dyDescent="0.3">
      <c r="A31" s="8" t="s">
        <v>458</v>
      </c>
      <c r="C31" s="12">
        <v>0</v>
      </c>
    </row>
    <row r="32" spans="1:8" ht="15" customHeight="1" x14ac:dyDescent="0.3">
      <c r="A32" s="4" t="s">
        <v>459</v>
      </c>
      <c r="C32" s="35">
        <f>SUM(C27:C31)</f>
        <v>6452.6805879349995</v>
      </c>
    </row>
    <row r="34" spans="1:8" ht="15" customHeight="1" x14ac:dyDescent="0.3">
      <c r="A34" s="8" t="s">
        <v>460</v>
      </c>
      <c r="C34" s="42">
        <f>IS!E23</f>
        <v>1489.5074999999999</v>
      </c>
    </row>
    <row r="35" spans="1:8" ht="15" customHeight="1" x14ac:dyDescent="0.3">
      <c r="A35" s="8" t="s">
        <v>461</v>
      </c>
      <c r="C35" s="42">
        <f>C15</f>
        <v>108.43293300000001</v>
      </c>
    </row>
    <row r="36" spans="1:8" ht="15" customHeight="1" x14ac:dyDescent="0.3">
      <c r="A36" s="4" t="s">
        <v>462</v>
      </c>
      <c r="C36" s="63">
        <f>C34+C35</f>
        <v>1597.940433</v>
      </c>
    </row>
    <row r="38" spans="1:8" ht="15" customHeight="1" x14ac:dyDescent="0.3">
      <c r="A38" s="4" t="s">
        <v>463</v>
      </c>
      <c r="C38" s="50">
        <f>IS!E22</f>
        <v>3.7837068768032385</v>
      </c>
    </row>
    <row r="39" spans="1:8" ht="15" customHeight="1" x14ac:dyDescent="0.3">
      <c r="A39" s="4" t="s">
        <v>464</v>
      </c>
      <c r="C39" s="50">
        <f>C32/C36</f>
        <v>4.0381233584662661</v>
      </c>
    </row>
    <row r="40" spans="1:8" ht="15" customHeight="1" x14ac:dyDescent="0.3">
      <c r="A40" s="4" t="s">
        <v>465</v>
      </c>
      <c r="C40" s="50">
        <f>C39-C38</f>
        <v>0.25441648166302766</v>
      </c>
    </row>
    <row r="41" spans="1:8" ht="15" customHeight="1" x14ac:dyDescent="0.3">
      <c r="A41" s="4" t="s">
        <v>466</v>
      </c>
      <c r="C41" s="64">
        <f>C39/C38-1</f>
        <v>6.7240008263530715E-2</v>
      </c>
    </row>
    <row r="43" spans="1:8" ht="15" customHeight="1" x14ac:dyDescent="0.3">
      <c r="A43" s="4" t="s">
        <v>467</v>
      </c>
      <c r="C43" s="31">
        <f>((C38*C36)-(C27+C28+C30+C31))/(1-(IS!E20/IS!E19))</f>
        <v>-81.188881227327713</v>
      </c>
    </row>
    <row r="46" spans="1:8" ht="15" customHeight="1" x14ac:dyDescent="0.3">
      <c r="A46" s="4" t="s">
        <v>468</v>
      </c>
      <c r="B46" s="4"/>
      <c r="C46" s="4"/>
      <c r="D46" s="4"/>
      <c r="E46" s="4"/>
      <c r="F46" s="4"/>
      <c r="G46" s="4"/>
      <c r="H46" s="4"/>
    </row>
    <row r="47" spans="1:8" ht="15" customHeight="1" x14ac:dyDescent="0.3">
      <c r="B47" s="4"/>
      <c r="C47" s="65"/>
      <c r="D47" s="65"/>
      <c r="E47" s="65"/>
      <c r="F47" s="65"/>
      <c r="G47" s="65"/>
    </row>
    <row r="48" spans="1:8" ht="15" customHeight="1" x14ac:dyDescent="0.3">
      <c r="B48" s="44"/>
      <c r="C48" s="49" t="s">
        <v>469</v>
      </c>
      <c r="D48" s="49" t="s">
        <v>470</v>
      </c>
      <c r="E48" s="49" t="s">
        <v>471</v>
      </c>
      <c r="F48" s="24"/>
      <c r="G48" s="24"/>
    </row>
    <row r="49" spans="1:8" ht="15" customHeight="1" x14ac:dyDescent="0.3">
      <c r="A49" s="8" t="s">
        <v>437</v>
      </c>
      <c r="B49" s="44"/>
      <c r="C49" s="44">
        <v>0</v>
      </c>
      <c r="D49" s="44">
        <v>1</v>
      </c>
      <c r="E49" s="44">
        <f>$C$11</f>
        <v>0.7</v>
      </c>
      <c r="F49" s="24"/>
      <c r="G49" s="24"/>
    </row>
    <row r="50" spans="1:8" ht="15" customHeight="1" x14ac:dyDescent="0.3">
      <c r="A50" s="8" t="s">
        <v>438</v>
      </c>
      <c r="B50" s="44"/>
      <c r="C50" s="44">
        <f>1-C49</f>
        <v>1</v>
      </c>
      <c r="D50" s="44">
        <f>1-D49</f>
        <v>0</v>
      </c>
      <c r="E50" s="44">
        <f>1-E49</f>
        <v>0.30000000000000004</v>
      </c>
      <c r="F50" s="24"/>
      <c r="G50" s="24"/>
    </row>
    <row r="51" spans="1:8" ht="15" customHeight="1" x14ac:dyDescent="0.3">
      <c r="A51" s="8" t="s">
        <v>441</v>
      </c>
      <c r="B51" s="44"/>
      <c r="C51" s="51">
        <f>$C$7*C49/$C$14</f>
        <v>0</v>
      </c>
      <c r="D51" s="51">
        <f>$C$7*D49/$C$14</f>
        <v>154.90419000000003</v>
      </c>
      <c r="E51" s="51">
        <f>$C$7*E49/$C$14</f>
        <v>108.43293300000001</v>
      </c>
      <c r="F51" s="24"/>
      <c r="G51" s="24"/>
    </row>
    <row r="52" spans="1:8" ht="15" customHeight="1" x14ac:dyDescent="0.3">
      <c r="A52" s="8" t="s">
        <v>472</v>
      </c>
      <c r="B52" s="44"/>
      <c r="C52" s="11">
        <f>$C$7*C50</f>
        <v>11617.814250000001</v>
      </c>
      <c r="D52" s="11">
        <f>$C$7*D50</f>
        <v>0</v>
      </c>
      <c r="E52" s="11">
        <f>$C$7*E50</f>
        <v>3485.3442750000008</v>
      </c>
      <c r="F52" s="24"/>
      <c r="G52" s="24"/>
    </row>
    <row r="53" spans="1:8" ht="15" customHeight="1" x14ac:dyDescent="0.3">
      <c r="A53" s="8" t="s">
        <v>473</v>
      </c>
      <c r="C53" s="11">
        <f>-C52*$C$13*(1-(IS!E20/IS!E19))</f>
        <v>-536.74301835000006</v>
      </c>
      <c r="D53" s="11">
        <f>-D52*$C$13*(1-(IS!E20/IS!E19))</f>
        <v>0</v>
      </c>
      <c r="E53" s="11">
        <f>-E52*$C$13*(1-(IS!E20/IS!E19))</f>
        <v>-161.02290550500007</v>
      </c>
    </row>
    <row r="54" spans="1:8" ht="15" customHeight="1" x14ac:dyDescent="0.3">
      <c r="A54" s="8" t="s">
        <v>459</v>
      </c>
      <c r="C54" s="11">
        <f>$C$27+$C$28+$C$29+C53</f>
        <v>6076.9604750899998</v>
      </c>
      <c r="D54" s="11">
        <f>$C$27+$C$28+$C$29+D53</f>
        <v>6613.7034934399999</v>
      </c>
      <c r="E54" s="11">
        <f>$C$27+$C$28+$C$29+E53</f>
        <v>6452.6805879349995</v>
      </c>
    </row>
    <row r="55" spans="1:8" ht="15" customHeight="1" x14ac:dyDescent="0.3">
      <c r="A55" s="8" t="s">
        <v>462</v>
      </c>
      <c r="C55" s="51">
        <f>$C$34+C51</f>
        <v>1489.5074999999999</v>
      </c>
      <c r="D55" s="51">
        <f>$C$34+D51</f>
        <v>1644.4116899999999</v>
      </c>
      <c r="E55" s="51">
        <f>$C$34+E51</f>
        <v>1597.940433</v>
      </c>
    </row>
    <row r="56" spans="1:8" ht="15" customHeight="1" x14ac:dyDescent="0.3">
      <c r="A56" s="8" t="s">
        <v>464</v>
      </c>
      <c r="C56" s="50">
        <f>C54/C55</f>
        <v>4.0798455026846119</v>
      </c>
      <c r="D56" s="50">
        <f>D54/D55</f>
        <v>4.0219268287006642</v>
      </c>
      <c r="E56" s="50">
        <f>E54/E55</f>
        <v>4.0381233584662661</v>
      </c>
    </row>
    <row r="57" spans="1:8" ht="15" customHeight="1" x14ac:dyDescent="0.3">
      <c r="A57" s="8" t="s">
        <v>465</v>
      </c>
      <c r="C57" s="50">
        <f>C56-$C$38</f>
        <v>0.29613862588137341</v>
      </c>
      <c r="D57" s="50">
        <f>D56-$C$38</f>
        <v>0.23821995189742573</v>
      </c>
      <c r="E57" s="50">
        <f>E56-$C$38</f>
        <v>0.25441648166302766</v>
      </c>
    </row>
    <row r="58" spans="1:8" ht="15" customHeight="1" x14ac:dyDescent="0.3">
      <c r="A58" s="8" t="s">
        <v>466</v>
      </c>
      <c r="C58" s="64">
        <f>C56/$C$38-1</f>
        <v>7.8266799073921423E-2</v>
      </c>
      <c r="D58" s="64">
        <f>D56/$C$38-1</f>
        <v>6.2959409820533496E-2</v>
      </c>
      <c r="E58" s="64">
        <f>E56/$C$38-1</f>
        <v>6.7240008263530715E-2</v>
      </c>
    </row>
    <row r="59" spans="1:8" ht="15" customHeight="1" x14ac:dyDescent="0.3">
      <c r="A59" s="15"/>
    </row>
    <row r="60" spans="1:8" ht="15" customHeight="1" x14ac:dyDescent="0.3">
      <c r="A60" s="4" t="s">
        <v>474</v>
      </c>
      <c r="B60" s="4"/>
      <c r="C60" s="4"/>
      <c r="D60" s="4"/>
      <c r="E60" s="4"/>
      <c r="F60" s="4"/>
      <c r="G60" s="4"/>
      <c r="H60" s="4"/>
    </row>
    <row r="61" spans="1:8" ht="15" customHeight="1" x14ac:dyDescent="0.3">
      <c r="A61" s="4" t="s">
        <v>475</v>
      </c>
      <c r="C61" s="31">
        <f>(C27+C28+C29-C38*C34)/(C12*C13*(1-(IS!E20/IS!E19))+C38*C11/C14)</f>
        <v>19885.139320262435</v>
      </c>
    </row>
    <row r="62" spans="1:8" ht="15" customHeight="1" x14ac:dyDescent="0.3">
      <c r="A62" s="4" t="s">
        <v>476</v>
      </c>
      <c r="C62" s="44">
        <f>C61/C5-1</f>
        <v>1.096719326298532</v>
      </c>
    </row>
    <row r="63" spans="1:8" ht="15" customHeight="1" x14ac:dyDescent="0.3">
      <c r="A63" s="8" t="s">
        <v>477</v>
      </c>
      <c r="C63" s="11">
        <f>(C27+C28-C38*C34)/(C12*C13*(1-(IS!E20/IS!E19))+C38*C11/C14)</f>
        <v>13004.681935243665</v>
      </c>
    </row>
    <row r="64" spans="1:8" ht="15" customHeight="1" x14ac:dyDescent="0.3">
      <c r="A64" s="8" t="s">
        <v>478</v>
      </c>
      <c r="C64" s="44">
        <f>C63/C5-1</f>
        <v>0.37123343753524796</v>
      </c>
    </row>
    <row r="65" spans="1:7" ht="15" customHeight="1" x14ac:dyDescent="0.3">
      <c r="A65" s="8" t="s">
        <v>479</v>
      </c>
      <c r="C65" s="44">
        <f>C6</f>
        <v>0.22500000000000001</v>
      </c>
    </row>
    <row r="66" spans="1:7" ht="15" customHeight="1" x14ac:dyDescent="0.3">
      <c r="A66" s="4" t="s">
        <v>480</v>
      </c>
      <c r="C66" s="44">
        <f>C62-C65</f>
        <v>0.87171932629853199</v>
      </c>
    </row>
    <row r="69" spans="1:7" ht="15" customHeight="1" x14ac:dyDescent="0.3">
      <c r="A69" s="4" t="s">
        <v>481</v>
      </c>
    </row>
    <row r="70" spans="1:7" ht="15" customHeight="1" x14ac:dyDescent="0.3">
      <c r="B70" s="4" t="s">
        <v>482</v>
      </c>
      <c r="C70" s="65">
        <v>0.5</v>
      </c>
      <c r="D70" s="65">
        <v>0.6</v>
      </c>
      <c r="E70" s="65">
        <v>0.7</v>
      </c>
      <c r="F70" s="65">
        <v>0.8</v>
      </c>
      <c r="G70" s="65">
        <v>0.9</v>
      </c>
    </row>
    <row r="71" spans="1:7" ht="15" customHeight="1" x14ac:dyDescent="0.3">
      <c r="B71" s="44">
        <v>0.15</v>
      </c>
      <c r="C71" s="64">
        <f>(($C$27+$C$28+$C$29-(($C$5*(1+$B71))*(1-C$70))*$C$13*(1-(IS!E20/IS!E19)))/($C$34+(($C$5*(1+$B71))*C$70/$C$14)))/$C$38-1</f>
        <v>7.626312255593426E-2</v>
      </c>
      <c r="D71" s="64">
        <f>(($C$27+$C$28+$C$29-(($C$5*(1+$B71))*(1-D$70))*$C$13*(1-(IS!E20/IS!E19)))/($C$34+(($C$5*(1+$B71))*D$70/$C$14)))/$C$38-1</f>
        <v>7.4782925294140101E-2</v>
      </c>
      <c r="E71" s="64">
        <f>(($C$27+$C$28+$C$29-(($C$5*(1+$B71))*(1-E$70))*$C$13*(1-(IS!E20/IS!E19)))/($C$34+(($C$5*(1+$B71))*E$70/$C$14)))/$C$38-1</f>
        <v>7.3329781440646391E-2</v>
      </c>
      <c r="F71" s="64">
        <f>(($C$27+$C$28+$C$29-(($C$5*(1+$B71))*(1-F$70))*$C$13*(1-(IS!E20/IS!E19)))/($C$34+(($C$5*(1+$B71))*F$70/$C$14)))/$C$38-1</f>
        <v>7.1902956033454757E-2</v>
      </c>
      <c r="G71" s="64">
        <f>(($C$27+$C$28+$C$29-(($C$5*(1+$B71))*(1-G$70))*$C$13*(1-(IS!E20/IS!E19)))/($C$34+(($C$5*(1+$B71))*G$70/$C$14)))/$C$38-1</f>
        <v>7.0501740494004483E-2</v>
      </c>
    </row>
    <row r="72" spans="1:7" ht="15" customHeight="1" x14ac:dyDescent="0.3">
      <c r="B72" s="44">
        <v>0.2</v>
      </c>
      <c r="C72" s="64">
        <f>(($C$27+$C$28+$C$29-(($C$5*(1+$B72))*(1-C$70))*$C$13*(1-(IS!E20/IS!E19)))/($C$34+(($C$5*(1+$B72))*C$70/$C$14)))/$C$38-1</f>
        <v>7.2240179812673277E-2</v>
      </c>
      <c r="D72" s="64">
        <f>(($C$27+$C$28+$C$29-(($C$5*(1+$B72))*(1-D$70))*$C$13*(1-(IS!E20/IS!E19)))/($C$34+(($C$5*(1+$B72))*D$70/$C$14)))/$C$38-1</f>
        <v>7.0737956052774553E-2</v>
      </c>
      <c r="E72" s="64">
        <f>(($C$27+$C$28+$C$29-(($C$5*(1+$B72))*(1-E$70))*$C$13*(1-(IS!E20/IS!E19)))/($C$34+(($C$5*(1+$B72))*E$70/$C$14)))/$C$38-1</f>
        <v>6.9264302554082002E-2</v>
      </c>
      <c r="F72" s="64">
        <f>(($C$27+$C$28+$C$29-(($C$5*(1+$B72))*(1-F$70))*$C$13*(1-(IS!E20/IS!E19)))/($C$34+(($C$5*(1+$B72))*F$70/$C$14)))/$C$38-1</f>
        <v>6.7818411942669021E-2</v>
      </c>
      <c r="G72" s="64">
        <f>(($C$27+$C$28+$C$29-(($C$5*(1+$B72))*(1-G$70))*$C$13*(1-(IS!E20/IS!E19)))/($C$34+(($C$5*(1+$B72))*G$70/$C$14)))/$C$38-1</f>
        <v>6.6399506981757783E-2</v>
      </c>
    </row>
    <row r="73" spans="1:7" ht="15" customHeight="1" x14ac:dyDescent="0.3">
      <c r="B73" s="44">
        <v>0.22500000000000001</v>
      </c>
      <c r="C73" s="64">
        <f>(($C$27+$C$28+$C$29-(($C$5*(1+$B73))*(1-C$70))*$C$13*(1-(IS!E20/IS!E19)))/($C$34+(($C$5*(1+$B73))*C$70/$C$14)))/$C$38-1</f>
        <v>7.0234795596623156E-2</v>
      </c>
      <c r="D73" s="64">
        <f>(($C$27+$C$28+$C$29-(($C$5*(1+$B73))*(1-D$70))*$C$13*(1-(IS!E20/IS!E19)))/($C$34+(($C$5*(1+$B73))*D$70/$C$14)))/$C$38-1</f>
        <v>6.8722744117762247E-2</v>
      </c>
      <c r="E73" s="64">
        <f>(($C$27+$C$28+$C$29-(($C$5*(1+$B73))*(1-E$70))*$C$13*(1-(IS!E20/IS!E19)))/($C$34+(($C$5*(1+$B73))*E$70/$C$14)))/$C$38-1</f>
        <v>6.7240008263530715E-2</v>
      </c>
      <c r="F73" s="64">
        <f>(($C$27+$C$28+$C$29-(($C$5*(1+$B73))*(1-F$70))*$C$13*(1-(IS!E20/IS!E19)))/($C$34+(($C$5*(1+$B73))*F$70/$C$14)))/$C$38-1</f>
        <v>6.5785743663112184E-2</v>
      </c>
      <c r="G73" s="64">
        <f>(($C$27+$C$28+$C$29-(($C$5*(1+$B73))*(1-G$70))*$C$13*(1-(IS!E20/IS!E19)))/($C$34+(($C$5*(1+$B73))*G$70/$C$14)))/$C$38-1</f>
        <v>6.4359138064265409E-2</v>
      </c>
    </row>
    <row r="74" spans="1:7" ht="15" customHeight="1" x14ac:dyDescent="0.3">
      <c r="B74" s="44">
        <v>0.25</v>
      </c>
      <c r="C74" s="64">
        <f>(($C$27+$C$28+$C$29-(($C$5*(1+$B74))*(1-C$70))*$C$13*(1-(IS!E20/IS!E19)))/($C$34+(($C$5*(1+$B74))*C$70/$C$14)))/$C$38-1</f>
        <v>6.8233453126505861E-2</v>
      </c>
      <c r="D74" s="64">
        <f>(($C$27+$C$28+$C$29-(($C$5*(1+$B74))*(1-D$70))*$C$13*(1-(IS!E20/IS!E19)))/($C$34+(($C$5*(1+$B74))*D$70/$C$14)))/$C$38-1</f>
        <v>6.6712357421498725E-2</v>
      </c>
      <c r="E74" s="64">
        <f>(($C$27+$C$28+$C$29-(($C$5*(1+$B74))*(1-E$70))*$C$13*(1-(IS!E20/IS!E19)))/($C$34+(($C$5*(1+$B74))*E$70/$C$14)))/$C$38-1</f>
        <v>6.5221312930415332E-2</v>
      </c>
      <c r="F74" s="64">
        <f>(($C$27+$C$28+$C$29-(($C$5*(1+$B74))*(1-F$70))*$C$13*(1-(IS!E20/IS!E19)))/($C$34+(($C$5*(1+$B74))*F$70/$C$14)))/$C$38-1</f>
        <v>6.3759437813275532E-2</v>
      </c>
      <c r="G74" s="64">
        <f>(($C$27+$C$28+$C$29-(($C$5*(1+$B74))*(1-G$70))*$C$13*(1-(IS!E20/IS!E19)))/($C$34+(($C$5*(1+$B74))*G$70/$C$14)))/$C$38-1</f>
        <v>6.2325884398831244E-2</v>
      </c>
    </row>
    <row r="75" spans="1:7" ht="15" customHeight="1" x14ac:dyDescent="0.3">
      <c r="B75" s="44">
        <v>0.3</v>
      </c>
      <c r="C75" s="64">
        <f>(($C$27+$C$28+$C$29-(($C$5*(1+$B75))*(1-C$70))*$C$13*(1-(IS!E20/IS!E19)))/($C$34+(($C$5*(1+$B75))*C$70/$C$14)))/$C$38-1</f>
        <v>6.4242844646825947E-2</v>
      </c>
      <c r="D75" s="64">
        <f>(($C$27+$C$28+$C$29-(($C$5*(1+$B75))*(1-D$70))*$C$13*(1-(IS!E20/IS!E19)))/($C$34+(($C$5*(1+$B75))*D$70/$C$14)))/$C$38-1</f>
        <v>6.2705990589275507E-2</v>
      </c>
      <c r="E75" s="64">
        <f>(($C$27+$C$28+$C$29-(($C$5*(1+$B75))*(1-E$70))*$C$13*(1-(IS!E20/IS!E19)))/($C$34+(($C$5*(1+$B75))*E$70/$C$14)))/$C$38-1</f>
        <v>6.1200626476472397E-2</v>
      </c>
      <c r="F75" s="64">
        <f>(($C$27+$C$28+$C$29-(($C$5*(1+$B75))*(1-F$70))*$C$13*(1-(IS!E20/IS!E19)))/($C$34+(($C$5*(1+$B75))*F$70/$C$14)))/$C$38-1</f>
        <v>5.9725794285835354E-2</v>
      </c>
      <c r="G75" s="64">
        <f>(($C$27+$C$28+$C$29-(($C$5*(1+$B75))*(1-G$70))*$C$13*(1-(IS!E20/IS!E19)))/($C$34+(($C$5*(1+$B75))*G$70/$C$14)))/$C$38-1</f>
        <v>5.8280574466034851E-2</v>
      </c>
    </row>
    <row r="78" spans="1:7" ht="15" customHeight="1" x14ac:dyDescent="0.3">
      <c r="A78" s="8"/>
    </row>
    <row r="79" spans="1:7" ht="15" customHeight="1" x14ac:dyDescent="0.3">
      <c r="A79" s="8"/>
    </row>
    <row r="80" spans="1:7" ht="15" customHeight="1" x14ac:dyDescent="0.3">
      <c r="A80" s="8"/>
    </row>
    <row r="81" spans="1:1" ht="15" customHeight="1" x14ac:dyDescent="0.3">
      <c r="A81" s="8"/>
    </row>
    <row r="82" spans="1:1" ht="15" customHeight="1" x14ac:dyDescent="0.3">
      <c r="A82" s="8"/>
    </row>
    <row r="83" spans="1:1" ht="15" customHeight="1" x14ac:dyDescent="0.3">
      <c r="A83" s="8"/>
    </row>
    <row r="84" spans="1:1" ht="15" customHeight="1" x14ac:dyDescent="0.3">
      <c r="A84" s="8"/>
    </row>
    <row r="85" spans="1:1" ht="15" customHeight="1" x14ac:dyDescent="0.3">
      <c r="A85" s="8"/>
    </row>
    <row r="86" spans="1:1" ht="15" customHeight="1" x14ac:dyDescent="0.3">
      <c r="A8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1"/>
  <sheetViews>
    <sheetView showGridLines="0" tabSelected="1" zoomScaleNormal="100" workbookViewId="0"/>
  </sheetViews>
  <sheetFormatPr defaultColWidth="8.6640625" defaultRowHeight="14.4" x14ac:dyDescent="0.3"/>
  <cols>
    <col min="1" max="1" width="40" customWidth="1"/>
    <col min="2" max="5" width="14" customWidth="1"/>
    <col min="6" max="6" width="40" customWidth="1"/>
    <col min="7" max="12" width="13" customWidth="1"/>
  </cols>
  <sheetData>
    <row r="1" spans="1:12" ht="21.75" customHeight="1" x14ac:dyDescent="0.3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3">
      <c r="A2" s="3"/>
    </row>
    <row r="5" spans="1:12" ht="15" customHeight="1" x14ac:dyDescent="0.3">
      <c r="A5" s="47" t="s">
        <v>60</v>
      </c>
      <c r="B5" s="47" t="s">
        <v>49</v>
      </c>
      <c r="C5" s="47" t="s">
        <v>75</v>
      </c>
      <c r="D5" s="47" t="s">
        <v>52</v>
      </c>
      <c r="E5" s="47" t="s">
        <v>484</v>
      </c>
      <c r="F5" s="47" t="s">
        <v>335</v>
      </c>
    </row>
    <row r="6" spans="1:12" ht="15" customHeight="1" x14ac:dyDescent="0.3">
      <c r="A6" s="20" t="s">
        <v>485</v>
      </c>
      <c r="B6" s="21">
        <f>MIN(DCF!C44:G48)</f>
        <v>49.434411832731847</v>
      </c>
      <c r="C6" s="50">
        <f>DCF!C37</f>
        <v>62.048818748142743</v>
      </c>
      <c r="D6" s="21">
        <f>MAX(DCF!C44:G48)</f>
        <v>85.408966701550696</v>
      </c>
      <c r="E6" s="21">
        <f>D6-B6</f>
        <v>35.974554868818849</v>
      </c>
      <c r="F6" s="15" t="s">
        <v>486</v>
      </c>
    </row>
    <row r="7" spans="1:12" ht="15" customHeight="1" x14ac:dyDescent="0.3">
      <c r="A7" s="20" t="s">
        <v>487</v>
      </c>
      <c r="B7" s="21">
        <f>Comps!G31</f>
        <v>26.922084220099599</v>
      </c>
      <c r="C7" s="50">
        <f>Comps!G29</f>
        <v>51.113608080262928</v>
      </c>
      <c r="D7" s="21">
        <f>Comps!G33</f>
        <v>139.78344997007267</v>
      </c>
      <c r="E7" s="21">
        <f>D7-B7</f>
        <v>112.86136574997306</v>
      </c>
      <c r="F7" s="15" t="s">
        <v>488</v>
      </c>
    </row>
    <row r="8" spans="1:12" ht="15" customHeight="1" x14ac:dyDescent="0.3">
      <c r="A8" s="20" t="s">
        <v>489</v>
      </c>
      <c r="B8" s="21">
        <f>Comps!G30</f>
        <v>19.441800263499548</v>
      </c>
      <c r="C8" s="50">
        <f>Comps!G28</f>
        <v>41.623602816026057</v>
      </c>
      <c r="D8" s="21">
        <f>Comps!G32</f>
        <v>179.19626156203518</v>
      </c>
      <c r="E8" s="21">
        <f>D8-B8</f>
        <v>159.75446129853563</v>
      </c>
      <c r="F8" s="15" t="s">
        <v>488</v>
      </c>
    </row>
    <row r="9" spans="1:12" ht="15" customHeight="1" x14ac:dyDescent="0.3">
      <c r="A9" s="20" t="s">
        <v>490</v>
      </c>
      <c r="B9" s="21">
        <f>Precedents!G24</f>
        <v>36.197567512527904</v>
      </c>
      <c r="C9" s="50">
        <f>Precedents!G23</f>
        <v>56.833508770494355</v>
      </c>
      <c r="D9" s="21">
        <f>Precedents!G25</f>
        <v>76.300719627544666</v>
      </c>
      <c r="E9" s="21">
        <f>D9-B9</f>
        <v>40.103152115016762</v>
      </c>
      <c r="F9" s="15" t="s">
        <v>491</v>
      </c>
    </row>
    <row r="10" spans="1:12" ht="15" customHeight="1" x14ac:dyDescent="0.3">
      <c r="A10" s="20" t="s">
        <v>492</v>
      </c>
      <c r="B10" s="21">
        <f>LBO!C7*0.85/WACC!C6</f>
        <v>38.538797751521891</v>
      </c>
      <c r="C10" s="50">
        <f>LBO!C7/WACC!C6</f>
        <v>45.339762060613992</v>
      </c>
      <c r="D10" s="21">
        <f>LBO!C7*1.1/WACC!C6</f>
        <v>49.873738266675389</v>
      </c>
      <c r="E10" s="21">
        <f>D10-B10</f>
        <v>11.334940515153498</v>
      </c>
      <c r="F10" s="15" t="s">
        <v>493</v>
      </c>
    </row>
    <row r="12" spans="1:12" ht="15" customHeight="1" x14ac:dyDescent="0.3">
      <c r="A12" s="4" t="s">
        <v>494</v>
      </c>
      <c r="B12" s="43">
        <f>MIN(B6:B9)</f>
        <v>19.441800263499548</v>
      </c>
      <c r="C12" s="43">
        <f>MEDIAN(C6:C9)</f>
        <v>53.973558425378641</v>
      </c>
      <c r="D12" s="43">
        <f>MAX(D6:D9)</f>
        <v>179.19626156203518</v>
      </c>
    </row>
    <row r="14" spans="1:12" ht="15" customHeight="1" x14ac:dyDescent="0.3">
      <c r="A14" s="4" t="s">
        <v>76</v>
      </c>
      <c r="B14" s="50">
        <f>WACC!C5</f>
        <v>75</v>
      </c>
    </row>
    <row r="15" spans="1:12" ht="15" customHeight="1" x14ac:dyDescent="0.3">
      <c r="A15" s="4" t="s">
        <v>495</v>
      </c>
      <c r="B15" s="44">
        <f>C12/B14-1</f>
        <v>-0.28035255432828476</v>
      </c>
    </row>
    <row r="18" spans="1:1" ht="15" customHeight="1" x14ac:dyDescent="0.3">
      <c r="A18" s="15"/>
    </row>
    <row r="19" spans="1:1" ht="15" customHeight="1" x14ac:dyDescent="0.3">
      <c r="A19" s="15"/>
    </row>
    <row r="20" spans="1:1" ht="15" customHeight="1" x14ac:dyDescent="0.3">
      <c r="A20" s="15"/>
    </row>
    <row r="21" spans="1:1" ht="15" customHeight="1" x14ac:dyDescent="0.3">
      <c r="A21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Live Valuation Engine</vt:lpstr>
      <vt:lpstr>IS</vt:lpstr>
      <vt:lpstr>BS</vt:lpstr>
      <vt:lpstr>CF</vt:lpstr>
      <vt:lpstr>Summary</vt:lpstr>
      <vt:lpstr>WACC</vt:lpstr>
      <vt:lpstr>DCF</vt:lpstr>
      <vt:lpstr>Comps</vt:lpstr>
      <vt:lpstr>Street Comps</vt:lpstr>
      <vt:lpstr>Precedents</vt:lpstr>
      <vt:lpstr>LBO</vt:lpstr>
      <vt:lpstr>Merger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Keshvii Aggrawal</cp:lastModifiedBy>
  <cp:revision>0</cp:revision>
  <dcterms:created xsi:type="dcterms:W3CDTF">2026-08-29T14:02:21Z</dcterms:created>
  <dcterms:modified xsi:type="dcterms:W3CDTF">2026-09-15T08:00:18Z</dcterms:modified>
  <dc:language>en-US</dc:language>
</cp:coreProperties>
</file>